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A1 Préstamo + solo cuota" sheetId="3" state="visible" r:id="rId3"/>
    <sheet name="A2 Préstamo + prepagos" sheetId="4" state="visible" r:id="rId4"/>
    <sheet name="B Sin présta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S/ #,##0.00;(S/ #,##0.00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color rgb="000000FF"/>
    </font>
    <font>
      <name val="Arial"/>
      <i val="1"/>
      <color rgb="00595959"/>
    </font>
    <font>
      <name val="Arial"/>
    </font>
    <font>
      <name val="Arial"/>
      <b val="1"/>
      <color rgb="00FFFFFF"/>
    </font>
    <font>
      <name val="Arial"/>
      <color rgb="00008000"/>
    </font>
    <font>
      <name val="Arial"/>
      <i val="1"/>
      <color rgb="00C00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7" fillId="4" borderId="0" applyAlignment="1" pivotButton="0" quotePrefix="0" xfId="0">
      <alignment horizontal="center" wrapText="1"/>
    </xf>
    <xf numFmtId="0" fontId="6" fillId="0" borderId="0" pivotButton="0" quotePrefix="0" xfId="0"/>
    <xf numFmtId="17" fontId="8" fillId="0" borderId="0" pivotButton="0" quotePrefix="0" xfId="0"/>
    <xf numFmtId="165" fontId="8" fillId="0" borderId="0" pivotButton="0" quotePrefix="0" xfId="0"/>
    <xf numFmtId="165" fontId="6" fillId="0" borderId="0" pivotButton="0" quotePrefix="0" xfId="0"/>
    <xf numFmtId="1" fontId="8" fillId="0" borderId="0" pivotButton="0" quotePrefix="0" xfId="0"/>
    <xf numFmtId="0" fontId="3" fillId="0" borderId="0" pivotButton="0" quotePrefix="0" xfId="0"/>
    <xf numFmtId="0" fontId="7" fillId="4" borderId="0" pivotButton="0" quotePrefix="0" xfId="0"/>
    <xf numFmtId="0" fontId="3" fillId="2" borderId="0" pivotButton="0" quotePrefix="0" xfId="0"/>
    <xf numFmtId="0" fontId="10" fillId="2" borderId="0" pivotButton="0" quotePrefix="0" xfId="0"/>
    <xf numFmtId="17" fontId="4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4" fillId="3" borderId="0" pivotButton="0" quotePrefix="0" xfId="0"/>
    <xf numFmtId="165" fontId="4" fillId="3" borderId="0" pivotButton="0" quotePrefix="0" xfId="0"/>
    <xf numFmtId="10" fontId="4" fillId="0" borderId="0" pivotButton="0" quotePrefix="0" xfId="0"/>
    <xf numFmtId="1" fontId="4" fillId="3" borderId="0" pivotButton="0" quotePrefix="0" xfId="0"/>
    <xf numFmtId="165" fontId="3" fillId="0" borderId="0" pivotButton="0" quotePrefix="0" xfId="0"/>
    <xf numFmtId="10" fontId="10" fillId="0" borderId="0" pivotButton="0" quotePrefix="0" xfId="0"/>
    <xf numFmtId="0" fontId="4" fillId="0" borderId="0" pivotButton="0" quotePrefix="0" xfId="0"/>
    <xf numFmtId="165" fontId="10" fillId="0" borderId="0" pivotButton="0" quotePrefix="0" xfId="0"/>
    <xf numFmtId="0" fontId="9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17" fontId="6" fillId="0" borderId="1" pivotButton="0" quotePrefix="0" xfId="0"/>
    <xf numFmtId="165" fontId="8" fillId="0" borderId="1" pivotButton="0" quotePrefix="0" xfId="0"/>
    <xf numFmtId="165" fontId="6" fillId="0" borderId="1" pivotButton="0" quotePrefix="0" xfId="0"/>
    <xf numFmtId="1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Deuda total por escenario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'Resumen'!B17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'Resumen'!$A$18:$A$44</f>
            </numRef>
          </cat>
          <val>
            <numRef>
              <f>'Resumen'!$B$18:$B$44</f>
            </numRef>
          </val>
        </ser>
        <ser>
          <idx val="1"/>
          <order val="1"/>
          <tx>
            <strRef>
              <f>'Resumen'!C17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'Resumen'!$A$18:$A$44</f>
            </numRef>
          </cat>
          <val>
            <numRef>
              <f>'Resumen'!$C$18:$C$44</f>
            </numRef>
          </val>
        </ser>
        <ser>
          <idx val="2"/>
          <order val="2"/>
          <tx>
            <strRef>
              <f>'Resumen'!D17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'Resumen'!$A$18:$A$44</f>
            </numRef>
          </cat>
          <val>
            <numRef>
              <f>'Resumen'!$D$18:$D$44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Resumen de escenarios - plan de deuda</t>
        </is>
      </c>
      <c r="B1" s="2" t="n"/>
      <c r="C1" s="2" t="n"/>
      <c r="D1" s="2" t="n"/>
    </row>
    <row r="2">
      <c r="A2" s="3" t="inlineStr">
        <is>
          <t>Todo se recalcula desde la hoja Supuestos. Cambia Meta/Actual, alquiler o plazo allí.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Indicador</t>
        </is>
      </c>
      <c r="B4" s="4" t="inlineStr">
        <is>
          <t>A1 Préstamo + solo cuota</t>
        </is>
      </c>
      <c r="C4" s="4" t="inlineStr">
        <is>
          <t>A2 Préstamo + prepagos</t>
        </is>
      </c>
      <c r="D4" s="4" t="inlineStr">
        <is>
          <t>B Sin préstamo</t>
        </is>
      </c>
    </row>
    <row r="5">
      <c r="A5" s="5" t="inlineStr">
        <is>
          <t>Mes en que quedas sin deuda</t>
        </is>
      </c>
      <c r="B5" s="6">
        <f>IFERROR(INDEX('A1 Préstamo + solo cuota'!$A$8:$A$34,MATCH(1,'A1 Préstamo + solo cuota'!$AG$8:$AG$34,0)),"Después de dic-28")</f>
        <v/>
      </c>
      <c r="C5" s="6">
        <f>IFERROR(INDEX('A2 Préstamo + prepagos'!$A$8:$A$34,MATCH(1,'A2 Préstamo + prepagos'!$AG$8:$AG$34,0)),"Después de dic-28")</f>
        <v/>
      </c>
      <c r="D5" s="6">
        <f>IFERROR(INDEX('B Sin préstamo'!$A$8:$A$34,MATCH(1,'B Sin préstamo'!$AG$8:$AG$34,0)),"Después de dic-28")</f>
        <v/>
      </c>
    </row>
    <row r="6">
      <c r="A6" s="5" t="inlineStr">
        <is>
          <t>Intereses + seguros pagados (total)</t>
        </is>
      </c>
      <c r="B6" s="7">
        <f>SUMPRODUCT(('A1 Préstamo + solo cuota'!$A$8:$A$34&lt;=IFERROR(INDEX('A1 Préstamo + solo cuota'!$A$8:$A$34,MATCH(1,'A1 Préstamo + solo cuota'!$AG$8:$AG$34,0)),DATE(2028,12,1)))*'A1 Préstamo + solo cuota'!$AE$8:$AE$34)</f>
        <v/>
      </c>
      <c r="C6" s="7">
        <f>SUMPRODUCT(('A2 Préstamo + prepagos'!$A$8:$A$34&lt;=IFERROR(INDEX('A2 Préstamo + prepagos'!$A$8:$A$34,MATCH(1,'A2 Préstamo + prepagos'!$AG$8:$AG$34,0)),DATE(2028,12,1)))*'A2 Préstamo + prepagos'!$AE$8:$AE$34)</f>
        <v/>
      </c>
      <c r="D6" s="7">
        <f>SUMPRODUCT(('B Sin préstamo'!$A$8:$A$34&lt;=IFERROR(INDEX('B Sin préstamo'!$A$8:$A$34,MATCH(1,'B Sin préstamo'!$AG$8:$AG$34,0)),DATE(2028,12,1)))*'B Sin préstamo'!$AE$8:$AE$34)</f>
        <v/>
      </c>
    </row>
    <row r="7">
      <c r="A7" s="5" t="inlineStr">
        <is>
          <t>Deuda total a dic-26</t>
        </is>
      </c>
      <c r="B7" s="7">
        <f>INDEX('A1 Préstamo + solo cuota'!$AD$8:$AD$34,MATCH(DATE(2026,12,1),'A1 Préstamo + solo cuota'!$A$8:$A$34,0))</f>
        <v/>
      </c>
      <c r="C7" s="7">
        <f>INDEX('A2 Préstamo + prepagos'!$AD$8:$AD$34,MATCH(DATE(2026,12,1),'A2 Préstamo + prepagos'!$A$8:$A$34,0))</f>
        <v/>
      </c>
      <c r="D7" s="7">
        <f>INDEX('B Sin préstamo'!$AD$8:$AD$34,MATCH(DATE(2026,12,1),'B Sin préstamo'!$A$8:$A$34,0))</f>
        <v/>
      </c>
    </row>
    <row r="8">
      <c r="A8" s="5" t="inlineStr">
        <is>
          <t>Ahorro acumulado a dic-26</t>
        </is>
      </c>
      <c r="B8" s="7">
        <f>INDEX('A1 Préstamo + solo cuota'!$AC$8:$AC$34,MATCH(DATE(2026,12,1),'A1 Préstamo + solo cuota'!$A$8:$A$34,0))</f>
        <v/>
      </c>
      <c r="C8" s="7">
        <f>INDEX('A2 Préstamo + prepagos'!$AC$8:$AC$34,MATCH(DATE(2026,12,1),'A2 Préstamo + prepagos'!$A$8:$A$34,0))</f>
        <v/>
      </c>
      <c r="D8" s="7">
        <f>INDEX('B Sin préstamo'!$AC$8:$AC$34,MATCH(DATE(2026,12,1),'B Sin préstamo'!$A$8:$A$34,0))</f>
        <v/>
      </c>
    </row>
    <row r="9">
      <c r="A9" s="5" t="inlineStr">
        <is>
          <t>Deuda total a dic-27</t>
        </is>
      </c>
      <c r="B9" s="7">
        <f>INDEX('A1 Préstamo + solo cuota'!$AD$8:$AD$34,MATCH(DATE(2027,12,1),'A1 Préstamo + solo cuota'!$A$8:$A$34,0))</f>
        <v/>
      </c>
      <c r="C9" s="7">
        <f>INDEX('A2 Préstamo + prepagos'!$AD$8:$AD$34,MATCH(DATE(2027,12,1),'A2 Préstamo + prepagos'!$A$8:$A$34,0))</f>
        <v/>
      </c>
      <c r="D9" s="7">
        <f>INDEX('B Sin préstamo'!$AD$8:$AD$34,MATCH(DATE(2027,12,1),'B Sin préstamo'!$A$8:$A$34,0))</f>
        <v/>
      </c>
    </row>
    <row r="10">
      <c r="A10" s="5" t="inlineStr">
        <is>
          <t>Ahorro acumulado a dic-27</t>
        </is>
      </c>
      <c r="B10" s="7">
        <f>INDEX('A1 Préstamo + solo cuota'!$AC$8:$AC$34,MATCH(DATE(2027,12,1),'A1 Préstamo + solo cuota'!$A$8:$A$34,0))</f>
        <v/>
      </c>
      <c r="C10" s="7">
        <f>INDEX('A2 Préstamo + prepagos'!$AC$8:$AC$34,MATCH(DATE(2027,12,1),'A2 Préstamo + prepagos'!$A$8:$A$34,0))</f>
        <v/>
      </c>
      <c r="D10" s="7">
        <f>INDEX('B Sin préstamo'!$AC$8:$AC$34,MATCH(DATE(2027,12,1),'B Sin préstamo'!$A$8:$A$34,0))</f>
        <v/>
      </c>
    </row>
    <row r="11">
      <c r="A11" s="5" t="inlineStr">
        <is>
          <t>Patrimonio neto a dic-27 (ahorro - deuda)</t>
        </is>
      </c>
      <c r="B11" s="8">
        <f>B10-B9</f>
        <v/>
      </c>
      <c r="C11" s="8">
        <f>C10-C9</f>
        <v/>
      </c>
      <c r="D11" s="8">
        <f>D10-D9</f>
        <v/>
      </c>
    </row>
    <row r="12">
      <c r="A12" s="5" t="inlineStr">
        <is>
          <t>Ahorro acumulado a dic-28</t>
        </is>
      </c>
      <c r="B12" s="7">
        <f>INDEX('A1 Préstamo + solo cuota'!$AC$8:$AC$34,MATCH(DATE(2028,12,1),'A1 Préstamo + solo cuota'!$A$8:$A$34,0))</f>
        <v/>
      </c>
      <c r="C12" s="7">
        <f>INDEX('A2 Préstamo + prepagos'!$AC$8:$AC$34,MATCH(DATE(2028,12,1),'A2 Préstamo + prepagos'!$A$8:$A$34,0))</f>
        <v/>
      </c>
      <c r="D12" s="7">
        <f>INDEX('B Sin préstamo'!$AC$8:$AC$34,MATCH(DATE(2028,12,1),'B Sin préstamo'!$A$8:$A$34,0))</f>
        <v/>
      </c>
    </row>
    <row r="13">
      <c r="A13" s="5" t="inlineStr">
        <is>
          <t>Meses con déficit (ahorro del mes &lt; 0)</t>
        </is>
      </c>
      <c r="B13" s="9">
        <f>COUNTIF('A1 Préstamo + solo cuota'!$AB$8:$AB$34,"&lt;-0.01")</f>
        <v/>
      </c>
      <c r="C13" s="9">
        <f>COUNTIF('A2 Préstamo + prepagos'!$AB$8:$AB$34,"&lt;-0.01")</f>
        <v/>
      </c>
      <c r="D13" s="9">
        <f>COUNTIF('B Sin préstamo'!$AB$8:$AB$34,"&lt;-0.01")</f>
        <v/>
      </c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10" t="inlineStr">
        <is>
          <t>Deuda total por mes</t>
        </is>
      </c>
      <c r="B16" s="2" t="n"/>
      <c r="C16" s="2" t="n"/>
      <c r="D16" s="2" t="n"/>
    </row>
    <row r="17">
      <c r="A17" s="11" t="inlineStr">
        <is>
          <t>Mes</t>
        </is>
      </c>
      <c r="B17" s="11" t="inlineStr">
        <is>
          <t>A1 Préstamo + solo cuota</t>
        </is>
      </c>
      <c r="C17" s="11" t="inlineStr">
        <is>
          <t>A2 Préstamo + prepagos</t>
        </is>
      </c>
      <c r="D17" s="11" t="inlineStr">
        <is>
          <t>B Sin préstamo</t>
        </is>
      </c>
    </row>
    <row r="18">
      <c r="A18" s="6">
        <f>'A1 Préstamo + solo cuota'!A8</f>
        <v/>
      </c>
      <c r="B18" s="7">
        <f>'A1 Préstamo + solo cuota'!AD8</f>
        <v/>
      </c>
      <c r="C18" s="7">
        <f>'A2 Préstamo + prepagos'!AD8</f>
        <v/>
      </c>
      <c r="D18" s="7">
        <f>'B Sin préstamo'!AD8</f>
        <v/>
      </c>
    </row>
    <row r="19">
      <c r="A19" s="6">
        <f>'A1 Préstamo + solo cuota'!A9</f>
        <v/>
      </c>
      <c r="B19" s="7">
        <f>'A1 Préstamo + solo cuota'!AD9</f>
        <v/>
      </c>
      <c r="C19" s="7">
        <f>'A2 Préstamo + prepagos'!AD9</f>
        <v/>
      </c>
      <c r="D19" s="7">
        <f>'B Sin préstamo'!AD9</f>
        <v/>
      </c>
    </row>
    <row r="20">
      <c r="A20" s="6">
        <f>'A1 Préstamo + solo cuota'!A10</f>
        <v/>
      </c>
      <c r="B20" s="7">
        <f>'A1 Préstamo + solo cuota'!AD10</f>
        <v/>
      </c>
      <c r="C20" s="7">
        <f>'A2 Préstamo + prepagos'!AD10</f>
        <v/>
      </c>
      <c r="D20" s="7">
        <f>'B Sin préstamo'!AD10</f>
        <v/>
      </c>
    </row>
    <row r="21">
      <c r="A21" s="6">
        <f>'A1 Préstamo + solo cuota'!A11</f>
        <v/>
      </c>
      <c r="B21" s="7">
        <f>'A1 Préstamo + solo cuota'!AD11</f>
        <v/>
      </c>
      <c r="C21" s="7">
        <f>'A2 Préstamo + prepagos'!AD11</f>
        <v/>
      </c>
      <c r="D21" s="7">
        <f>'B Sin préstamo'!AD11</f>
        <v/>
      </c>
    </row>
    <row r="22">
      <c r="A22" s="6">
        <f>'A1 Préstamo + solo cuota'!A12</f>
        <v/>
      </c>
      <c r="B22" s="7">
        <f>'A1 Préstamo + solo cuota'!AD12</f>
        <v/>
      </c>
      <c r="C22" s="7">
        <f>'A2 Préstamo + prepagos'!AD12</f>
        <v/>
      </c>
      <c r="D22" s="7">
        <f>'B Sin préstamo'!AD12</f>
        <v/>
      </c>
    </row>
    <row r="23">
      <c r="A23" s="6">
        <f>'A1 Préstamo + solo cuota'!A13</f>
        <v/>
      </c>
      <c r="B23" s="7">
        <f>'A1 Préstamo + solo cuota'!AD13</f>
        <v/>
      </c>
      <c r="C23" s="7">
        <f>'A2 Préstamo + prepagos'!AD13</f>
        <v/>
      </c>
      <c r="D23" s="7">
        <f>'B Sin préstamo'!AD13</f>
        <v/>
      </c>
    </row>
    <row r="24">
      <c r="A24" s="6">
        <f>'A1 Préstamo + solo cuota'!A14</f>
        <v/>
      </c>
      <c r="B24" s="7">
        <f>'A1 Préstamo + solo cuota'!AD14</f>
        <v/>
      </c>
      <c r="C24" s="7">
        <f>'A2 Préstamo + prepagos'!AD14</f>
        <v/>
      </c>
      <c r="D24" s="7">
        <f>'B Sin préstamo'!AD14</f>
        <v/>
      </c>
    </row>
    <row r="25">
      <c r="A25" s="6">
        <f>'A1 Préstamo + solo cuota'!A15</f>
        <v/>
      </c>
      <c r="B25" s="7">
        <f>'A1 Préstamo + solo cuota'!AD15</f>
        <v/>
      </c>
      <c r="C25" s="7">
        <f>'A2 Préstamo + prepagos'!AD15</f>
        <v/>
      </c>
      <c r="D25" s="7">
        <f>'B Sin préstamo'!AD15</f>
        <v/>
      </c>
    </row>
    <row r="26">
      <c r="A26" s="6">
        <f>'A1 Préstamo + solo cuota'!A16</f>
        <v/>
      </c>
      <c r="B26" s="7">
        <f>'A1 Préstamo + solo cuota'!AD16</f>
        <v/>
      </c>
      <c r="C26" s="7">
        <f>'A2 Préstamo + prepagos'!AD16</f>
        <v/>
      </c>
      <c r="D26" s="7">
        <f>'B Sin préstamo'!AD16</f>
        <v/>
      </c>
    </row>
    <row r="27">
      <c r="A27" s="6">
        <f>'A1 Préstamo + solo cuota'!A17</f>
        <v/>
      </c>
      <c r="B27" s="7">
        <f>'A1 Préstamo + solo cuota'!AD17</f>
        <v/>
      </c>
      <c r="C27" s="7">
        <f>'A2 Préstamo + prepagos'!AD17</f>
        <v/>
      </c>
      <c r="D27" s="7">
        <f>'B Sin préstamo'!AD17</f>
        <v/>
      </c>
    </row>
    <row r="28">
      <c r="A28" s="6">
        <f>'A1 Préstamo + solo cuota'!A18</f>
        <v/>
      </c>
      <c r="B28" s="7">
        <f>'A1 Préstamo + solo cuota'!AD18</f>
        <v/>
      </c>
      <c r="C28" s="7">
        <f>'A2 Préstamo + prepagos'!AD18</f>
        <v/>
      </c>
      <c r="D28" s="7">
        <f>'B Sin préstamo'!AD18</f>
        <v/>
      </c>
    </row>
    <row r="29">
      <c r="A29" s="6">
        <f>'A1 Préstamo + solo cuota'!A19</f>
        <v/>
      </c>
      <c r="B29" s="7">
        <f>'A1 Préstamo + solo cuota'!AD19</f>
        <v/>
      </c>
      <c r="C29" s="7">
        <f>'A2 Préstamo + prepagos'!AD19</f>
        <v/>
      </c>
      <c r="D29" s="7">
        <f>'B Sin préstamo'!AD19</f>
        <v/>
      </c>
    </row>
    <row r="30">
      <c r="A30" s="6">
        <f>'A1 Préstamo + solo cuota'!A20</f>
        <v/>
      </c>
      <c r="B30" s="7">
        <f>'A1 Préstamo + solo cuota'!AD20</f>
        <v/>
      </c>
      <c r="C30" s="7">
        <f>'A2 Préstamo + prepagos'!AD20</f>
        <v/>
      </c>
      <c r="D30" s="7">
        <f>'B Sin préstamo'!AD20</f>
        <v/>
      </c>
    </row>
    <row r="31">
      <c r="A31" s="6">
        <f>'A1 Préstamo + solo cuota'!A21</f>
        <v/>
      </c>
      <c r="B31" s="7">
        <f>'A1 Préstamo + solo cuota'!AD21</f>
        <v/>
      </c>
      <c r="C31" s="7">
        <f>'A2 Préstamo + prepagos'!AD21</f>
        <v/>
      </c>
      <c r="D31" s="7">
        <f>'B Sin préstamo'!AD21</f>
        <v/>
      </c>
    </row>
    <row r="32">
      <c r="A32" s="6">
        <f>'A1 Préstamo + solo cuota'!A22</f>
        <v/>
      </c>
      <c r="B32" s="7">
        <f>'A1 Préstamo + solo cuota'!AD22</f>
        <v/>
      </c>
      <c r="C32" s="7">
        <f>'A2 Préstamo + prepagos'!AD22</f>
        <v/>
      </c>
      <c r="D32" s="7">
        <f>'B Sin préstamo'!AD22</f>
        <v/>
      </c>
    </row>
    <row r="33">
      <c r="A33" s="6">
        <f>'A1 Préstamo + solo cuota'!A23</f>
        <v/>
      </c>
      <c r="B33" s="7">
        <f>'A1 Préstamo + solo cuota'!AD23</f>
        <v/>
      </c>
      <c r="C33" s="7">
        <f>'A2 Préstamo + prepagos'!AD23</f>
        <v/>
      </c>
      <c r="D33" s="7">
        <f>'B Sin préstamo'!AD23</f>
        <v/>
      </c>
    </row>
    <row r="34">
      <c r="A34" s="6">
        <f>'A1 Préstamo + solo cuota'!A24</f>
        <v/>
      </c>
      <c r="B34" s="7">
        <f>'A1 Préstamo + solo cuota'!AD24</f>
        <v/>
      </c>
      <c r="C34" s="7">
        <f>'A2 Préstamo + prepagos'!AD24</f>
        <v/>
      </c>
      <c r="D34" s="7">
        <f>'B Sin préstamo'!AD24</f>
        <v/>
      </c>
    </row>
    <row r="35">
      <c r="A35" s="6">
        <f>'A1 Préstamo + solo cuota'!A25</f>
        <v/>
      </c>
      <c r="B35" s="7">
        <f>'A1 Préstamo + solo cuota'!AD25</f>
        <v/>
      </c>
      <c r="C35" s="7">
        <f>'A2 Préstamo + prepagos'!AD25</f>
        <v/>
      </c>
      <c r="D35" s="7">
        <f>'B Sin préstamo'!AD25</f>
        <v/>
      </c>
    </row>
    <row r="36">
      <c r="A36" s="6">
        <f>'A1 Préstamo + solo cuota'!A26</f>
        <v/>
      </c>
      <c r="B36" s="7">
        <f>'A1 Préstamo + solo cuota'!AD26</f>
        <v/>
      </c>
      <c r="C36" s="7">
        <f>'A2 Préstamo + prepagos'!AD26</f>
        <v/>
      </c>
      <c r="D36" s="7">
        <f>'B Sin préstamo'!AD26</f>
        <v/>
      </c>
    </row>
    <row r="37">
      <c r="A37" s="6">
        <f>'A1 Préstamo + solo cuota'!A27</f>
        <v/>
      </c>
      <c r="B37" s="7">
        <f>'A1 Préstamo + solo cuota'!AD27</f>
        <v/>
      </c>
      <c r="C37" s="7">
        <f>'A2 Préstamo + prepagos'!AD27</f>
        <v/>
      </c>
      <c r="D37" s="7">
        <f>'B Sin préstamo'!AD27</f>
        <v/>
      </c>
    </row>
    <row r="38">
      <c r="A38" s="6">
        <f>'A1 Préstamo + solo cuota'!A28</f>
        <v/>
      </c>
      <c r="B38" s="7">
        <f>'A1 Préstamo + solo cuota'!AD28</f>
        <v/>
      </c>
      <c r="C38" s="7">
        <f>'A2 Préstamo + prepagos'!AD28</f>
        <v/>
      </c>
      <c r="D38" s="7">
        <f>'B Sin préstamo'!AD28</f>
        <v/>
      </c>
    </row>
    <row r="39">
      <c r="A39" s="6">
        <f>'A1 Préstamo + solo cuota'!A29</f>
        <v/>
      </c>
      <c r="B39" s="7">
        <f>'A1 Préstamo + solo cuota'!AD29</f>
        <v/>
      </c>
      <c r="C39" s="7">
        <f>'A2 Préstamo + prepagos'!AD29</f>
        <v/>
      </c>
      <c r="D39" s="7">
        <f>'B Sin préstamo'!AD29</f>
        <v/>
      </c>
    </row>
    <row r="40">
      <c r="A40" s="6">
        <f>'A1 Préstamo + solo cuota'!A30</f>
        <v/>
      </c>
      <c r="B40" s="7">
        <f>'A1 Préstamo + solo cuota'!AD30</f>
        <v/>
      </c>
      <c r="C40" s="7">
        <f>'A2 Préstamo + prepagos'!AD30</f>
        <v/>
      </c>
      <c r="D40" s="7">
        <f>'B Sin préstamo'!AD30</f>
        <v/>
      </c>
    </row>
    <row r="41">
      <c r="A41" s="6">
        <f>'A1 Préstamo + solo cuota'!A31</f>
        <v/>
      </c>
      <c r="B41" s="7">
        <f>'A1 Préstamo + solo cuota'!AD31</f>
        <v/>
      </c>
      <c r="C41" s="7">
        <f>'A2 Préstamo + prepagos'!AD31</f>
        <v/>
      </c>
      <c r="D41" s="7">
        <f>'B Sin préstamo'!AD31</f>
        <v/>
      </c>
    </row>
    <row r="42">
      <c r="A42" s="6">
        <f>'A1 Préstamo + solo cuota'!A32</f>
        <v/>
      </c>
      <c r="B42" s="7">
        <f>'A1 Préstamo + solo cuota'!AD32</f>
        <v/>
      </c>
      <c r="C42" s="7">
        <f>'A2 Préstamo + prepagos'!AD32</f>
        <v/>
      </c>
      <c r="D42" s="7">
        <f>'B Sin préstamo'!AD32</f>
        <v/>
      </c>
    </row>
    <row r="43">
      <c r="A43" s="6">
        <f>'A1 Préstamo + solo cuota'!A33</f>
        <v/>
      </c>
      <c r="B43" s="7">
        <f>'A1 Préstamo + solo cuota'!AD33</f>
        <v/>
      </c>
      <c r="C43" s="7">
        <f>'A2 Préstamo + prepagos'!AD33</f>
        <v/>
      </c>
      <c r="D43" s="7">
        <f>'B Sin préstamo'!AD33</f>
        <v/>
      </c>
    </row>
    <row r="44">
      <c r="A44" s="6">
        <f>'A1 Préstamo + solo cuota'!A34</f>
        <v/>
      </c>
      <c r="B44" s="7">
        <f>'A1 Préstamo + solo cuota'!AD34</f>
        <v/>
      </c>
      <c r="C44" s="7">
        <f>'A2 Préstamo + prepagos'!AD34</f>
        <v/>
      </c>
      <c r="D44" s="7">
        <f>'B Sin préstamo'!AD34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0" customWidth="1" min="3" max="3"/>
    <col width="30" customWidth="1" min="4" max="4"/>
  </cols>
  <sheetData>
    <row r="1">
      <c r="A1" s="1" t="inlineStr">
        <is>
          <t>Supuestos del plan de deuda</t>
        </is>
      </c>
      <c r="B1" s="2" t="n"/>
      <c r="C1" s="2" t="n"/>
      <c r="D1" s="2" t="n"/>
    </row>
    <row r="2">
      <c r="A2" s="3" t="inlineStr">
        <is>
          <t>Celdas en azul = datos editables. Amarillo = supuestos clave a revisar. Montos en soles.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12" t="inlineStr">
        <is>
          <t>Ingresos y efectivo</t>
        </is>
      </c>
      <c r="B4" s="13" t="n"/>
      <c r="C4" s="13" t="n"/>
      <c r="D4" s="2" t="n"/>
    </row>
    <row r="5">
      <c r="A5" s="5" t="inlineStr">
        <is>
          <t>Fecha inicio (mes actual)</t>
        </is>
      </c>
      <c r="B5" s="14" t="n">
        <v>46296</v>
      </c>
      <c r="C5" s="15" t="inlineStr">
        <is>
          <t>Octubre 2026</t>
        </is>
      </c>
      <c r="D5" s="2" t="n"/>
    </row>
    <row r="6">
      <c r="A6" s="5" t="inlineStr">
        <is>
          <t>Ingreso neto mensual</t>
        </is>
      </c>
      <c r="B6" s="16" t="n">
        <v>4600</v>
      </c>
      <c r="C6" s="15" t="inlineStr">
        <is>
          <t>Dato del usuario (Simtryx, neto de retención 4ta)</t>
        </is>
      </c>
      <c r="D6" s="2" t="n"/>
    </row>
    <row r="7">
      <c r="A7" s="5" t="inlineStr">
        <is>
          <t>Efectivo disponible en octubre</t>
        </is>
      </c>
      <c r="B7" s="16" t="n">
        <v>2747</v>
      </c>
      <c r="C7" s="15" t="inlineStr">
        <is>
          <t>BCP 2,480 + Plin 67 + 200 servicios (dato del usuario)</t>
        </is>
      </c>
      <c r="D7" s="2" t="n"/>
    </row>
    <row r="8">
      <c r="A8" s="5" t="inlineStr">
        <is>
          <t>Gastos de octubre (mes parcial, incluye pensión)</t>
        </is>
      </c>
      <c r="B8" s="16" t="n">
        <v>2098</v>
      </c>
      <c r="C8" s="15" t="inlineStr">
        <is>
          <t>Pensión 815 + servicios 313 + super 400 + delivery/taxi 450 + otros 120</t>
        </is>
      </c>
      <c r="D8" s="2" t="n"/>
    </row>
    <row r="9">
      <c r="A9" s="12" t="inlineStr">
        <is>
          <t>Gastos mensuales</t>
        </is>
      </c>
      <c r="B9" s="13" t="n"/>
      <c r="C9" s="13" t="n"/>
      <c r="D9" s="2" t="n"/>
    </row>
    <row r="10">
      <c r="A10" s="5" t="inlineStr">
        <is>
          <t>Escenario de gasto (Meta / Actual)</t>
        </is>
      </c>
      <c r="B10" s="17" t="inlineStr">
        <is>
          <t>Meta</t>
        </is>
      </c>
      <c r="C10" s="15" t="inlineStr">
        <is>
          <t>Escribe Meta o Actual</t>
        </is>
      </c>
      <c r="D10" s="2" t="n"/>
    </row>
    <row r="11">
      <c r="A11" s="5" t="inlineStr">
        <is>
          <t>Pensión PUCP</t>
        </is>
      </c>
      <c r="B11" s="16" t="n">
        <v>815</v>
      </c>
      <c r="C11" s="15" t="inlineStr">
        <is>
          <t>Estado de cuenta Visa Infinite, 14-Sep</t>
        </is>
      </c>
      <c r="D11" s="2" t="n"/>
    </row>
    <row r="12">
      <c r="A12" s="5" t="inlineStr">
        <is>
          <t>Último mes de pensión</t>
        </is>
      </c>
      <c r="B12" s="14" t="n">
        <v>46357</v>
      </c>
      <c r="C12" s="15" t="inlineStr">
        <is>
          <t>Usuario: paga la universidad hasta fin de año</t>
        </is>
      </c>
      <c r="D12" s="2" t="n"/>
    </row>
    <row r="13">
      <c r="A13" s="5" t="inlineStr">
        <is>
          <t>Alquiler mensual</t>
        </is>
      </c>
      <c r="B13" s="18" t="n">
        <v>0</v>
      </c>
      <c r="C13" s="15" t="inlineStr">
        <is>
          <t>Usuario: lo demás se mantiene igual. Pon el alquiler aquí cuando lo sepas</t>
        </is>
      </c>
      <c r="D13" s="2" t="n"/>
    </row>
    <row r="14">
      <c r="A14" s="5" t="inlineStr">
        <is>
          <t>Inicio de alquiler</t>
        </is>
      </c>
      <c r="B14" s="14" t="n">
        <v>46388</v>
      </c>
      <c r="C14" s="15" t="inlineStr">
        <is>
          <t>Mudanza estimada en diciembre 2026</t>
        </is>
      </c>
      <c r="D14" s="2" t="n"/>
    </row>
    <row r="15">
      <c r="A15" s="5" t="inlineStr">
        <is>
          <t>Devolución de impuestos (estimado)</t>
        </is>
      </c>
      <c r="B15" s="18" t="n">
        <v>0</v>
      </c>
      <c r="C15" s="15" t="inlineStr">
        <is>
          <t>Posible ~S/ 4,000 en abril 2027. Confirmar con contador. En 0 por prudencia</t>
        </is>
      </c>
      <c r="D15" s="2" t="n"/>
    </row>
    <row r="16">
      <c r="A16" s="5" t="inlineStr">
        <is>
          <t>Mes de devolución</t>
        </is>
      </c>
      <c r="B16" s="14" t="n">
        <v>46478</v>
      </c>
      <c r="C16" s="15" t="inlineStr"/>
      <c r="D16" s="2" t="n"/>
    </row>
    <row r="17">
      <c r="A17" s="12" t="inlineStr">
        <is>
          <t>Tarjeta Visa Infinite</t>
        </is>
      </c>
      <c r="B17" s="13" t="n"/>
      <c r="C17" s="13" t="n"/>
      <c r="D17" s="2" t="n"/>
    </row>
    <row r="18">
      <c r="A18" s="5" t="inlineStr">
        <is>
          <t>Saldo tarjeta (consumido)</t>
        </is>
      </c>
      <c r="B18" s="16" t="n">
        <v>8992.74</v>
      </c>
      <c r="C18" s="15" t="inlineStr">
        <is>
          <t>App Interbank 05/10/2026, incluye cargos pendientes</t>
        </is>
      </c>
      <c r="D18" s="2" t="n"/>
    </row>
    <row r="19">
      <c r="A19" s="5" t="inlineStr">
        <is>
          <t>TEA tarjeta</t>
        </is>
      </c>
      <c r="B19" s="19" t="n">
        <v>0.6478</v>
      </c>
      <c r="C19" s="15" t="inlineStr">
        <is>
          <t>Estado de cuenta 21/09/2026</t>
        </is>
      </c>
      <c r="D19" s="2" t="n"/>
    </row>
    <row r="20">
      <c r="A20" s="5" t="inlineStr">
        <is>
          <t>Tasa seguro desgravamen tarjeta</t>
        </is>
      </c>
      <c r="B20" s="19" t="n">
        <v>0.004</v>
      </c>
      <c r="C20" s="15" t="inlineStr">
        <is>
          <t>0.40% del saldo promedio, tope S/ 25</t>
        </is>
      </c>
      <c r="D20" s="2" t="n"/>
    </row>
    <row r="21">
      <c r="A21" s="5" t="inlineStr">
        <is>
          <t>Tope seguro tarjeta</t>
        </is>
      </c>
      <c r="B21" s="16" t="n">
        <v>25</v>
      </c>
      <c r="C21" s="15" t="inlineStr">
        <is>
          <t>Estado de cuenta</t>
        </is>
      </c>
      <c r="D21" s="2" t="n"/>
    </row>
    <row r="22">
      <c r="A22" s="12" t="inlineStr">
        <is>
          <t>ExtraCash actual (Visa Access 5293)</t>
        </is>
      </c>
      <c r="B22" s="13" t="n"/>
      <c r="C22" s="13" t="n"/>
      <c r="D22" s="2" t="n"/>
    </row>
    <row r="23">
      <c r="A23" s="5" t="inlineStr">
        <is>
          <t>Saldo capital después de cuota de octubre</t>
        </is>
      </c>
      <c r="B23" s="16" t="n">
        <v>2883.16</v>
      </c>
      <c r="C23" s="15" t="inlineStr">
        <is>
          <t>3,430.10 - 546.94 de capital pagado el 01/10</t>
        </is>
      </c>
      <c r="D23" s="2" t="n"/>
    </row>
    <row r="24">
      <c r="A24" s="5" t="inlineStr">
        <is>
          <t>TEA ExtraCash actual</t>
        </is>
      </c>
      <c r="B24" s="19" t="n">
        <v>0.1663</v>
      </c>
      <c r="C24" s="15" t="inlineStr">
        <is>
          <t>Estado de cuenta préstamo</t>
        </is>
      </c>
      <c r="D24" s="2" t="n"/>
    </row>
    <row r="25">
      <c r="A25" s="5" t="inlineStr">
        <is>
          <t>Cuota sin seguro</t>
        </is>
      </c>
      <c r="B25" s="16" t="n">
        <v>598.24</v>
      </c>
      <c r="C25" s="15" t="inlineStr">
        <is>
          <t>Estado de cuenta préstamo</t>
        </is>
      </c>
      <c r="D25" s="2" t="n"/>
    </row>
    <row r="26">
      <c r="A26" s="5" t="inlineStr">
        <is>
          <t>Seguro desgravamen mensual</t>
        </is>
      </c>
      <c r="B26" s="16" t="n">
        <v>17.17</v>
      </c>
      <c r="C26" s="15" t="inlineStr">
        <is>
          <t>Estado de cuenta préstamo</t>
        </is>
      </c>
      <c r="D26" s="2" t="n"/>
    </row>
    <row r="27">
      <c r="A27" s="12" t="inlineStr">
        <is>
          <t>ExtraCash nuevo (oferta)</t>
        </is>
      </c>
      <c r="B27" s="13" t="n"/>
      <c r="C27" s="13" t="n"/>
      <c r="D27" s="2" t="n"/>
    </row>
    <row r="28">
      <c r="A28" s="5" t="inlineStr">
        <is>
          <t>Monto del préstamo</t>
        </is>
      </c>
      <c r="B28" s="16" t="n">
        <v>9000</v>
      </c>
      <c r="C28" s="15" t="inlineStr">
        <is>
          <t>Cubre el consumido de la tarjeta</t>
        </is>
      </c>
      <c r="D28" s="2" t="n"/>
    </row>
    <row r="29">
      <c r="A29" s="5" t="inlineStr">
        <is>
          <t>Plazo (meses: 24, 36 o 48)</t>
        </is>
      </c>
      <c r="B29" s="20" t="n">
        <v>24</v>
      </c>
      <c r="C29" s="15" t="inlineStr">
        <is>
          <t>Simulación app Interbank</t>
        </is>
      </c>
      <c r="D29" s="2" t="n"/>
    </row>
    <row r="30">
      <c r="A30" s="5" t="inlineStr">
        <is>
          <t>TEA préstamo nuevo</t>
        </is>
      </c>
      <c r="B30" s="19" t="n">
        <v>0.1663</v>
      </c>
      <c r="C30" s="15" t="inlineStr">
        <is>
          <t>Simulación app (TCEA 21.31%)</t>
        </is>
      </c>
      <c r="D30" s="2" t="n"/>
    </row>
    <row r="31">
      <c r="A31" s="2" t="n"/>
      <c r="B31" s="2" t="n"/>
      <c r="C31" s="2" t="n"/>
      <c r="D31" s="2" t="n"/>
    </row>
    <row r="32">
      <c r="A32" s="12" t="inlineStr">
        <is>
          <t>Gastos mensuales por rubro (sin pensión)</t>
        </is>
      </c>
      <c r="B32" s="2" t="n"/>
      <c r="C32" s="2" t="n"/>
      <c r="D32" s="2" t="n"/>
    </row>
    <row r="33">
      <c r="A33" s="11" t="inlineStr">
        <is>
          <t>Rubro</t>
        </is>
      </c>
      <c r="B33" s="11" t="inlineStr">
        <is>
          <t>Meta</t>
        </is>
      </c>
      <c r="C33" s="11" t="inlineStr">
        <is>
          <t>Actual (ciclo ago-sep)</t>
        </is>
      </c>
      <c r="D33" s="11" t="inlineStr">
        <is>
          <t>Nota</t>
        </is>
      </c>
    </row>
    <row r="34">
      <c r="A34" s="5" t="inlineStr">
        <is>
          <t>Supermercado</t>
        </is>
      </c>
      <c r="B34" s="16" t="n">
        <v>500</v>
      </c>
      <c r="C34" s="16" t="n">
        <v>483.36</v>
      </c>
      <c r="D34" s="15" t="inlineStr"/>
    </row>
    <row r="35">
      <c r="A35" s="5" t="inlineStr">
        <is>
          <t>Delivery / comida fuera</t>
        </is>
      </c>
      <c r="B35" s="16" t="n">
        <v>300</v>
      </c>
      <c r="C35" s="16" t="n">
        <v>876.5</v>
      </c>
      <c r="D35" s="15" t="inlineStr">
        <is>
          <t>Meta acordada</t>
        </is>
      </c>
    </row>
    <row r="36">
      <c r="A36" s="5" t="inlineStr">
        <is>
          <t>Taxis</t>
        </is>
      </c>
      <c r="B36" s="16" t="n">
        <v>300</v>
      </c>
      <c r="C36" s="16" t="n">
        <v>505.4</v>
      </c>
      <c r="D36" s="15" t="inlineStr">
        <is>
          <t>44 viajes en el ciclo</t>
        </is>
      </c>
    </row>
    <row r="37">
      <c r="A37" s="5" t="inlineStr">
        <is>
          <t>Otros</t>
        </is>
      </c>
      <c r="B37" s="16" t="n">
        <v>200</v>
      </c>
      <c r="C37" s="16" t="n">
        <v>361</v>
      </c>
      <c r="D37" s="15" t="inlineStr">
        <is>
          <t>Tiendas, compras, Plin, combustible</t>
        </is>
      </c>
    </row>
    <row r="38">
      <c r="A38" s="5" t="inlineStr">
        <is>
          <t>Servicios (luz, gas, internet, celular)</t>
        </is>
      </c>
      <c r="B38" s="16" t="n">
        <v>313</v>
      </c>
      <c r="C38" s="16" t="n">
        <v>312.7</v>
      </c>
      <c r="D38" s="15" t="inlineStr"/>
    </row>
    <row r="39">
      <c r="A39" s="5" t="inlineStr">
        <is>
          <t>Seguro Interseguro</t>
        </is>
      </c>
      <c r="B39" s="16" t="n">
        <v>33.5</v>
      </c>
      <c r="C39" s="16" t="n">
        <v>33.5</v>
      </c>
      <c r="D39" s="15" t="inlineStr"/>
    </row>
    <row r="40">
      <c r="A40" s="5" t="inlineStr">
        <is>
          <t>Contador Luxr</t>
        </is>
      </c>
      <c r="B40" s="16" t="n">
        <v>150</v>
      </c>
      <c r="C40" s="16" t="n">
        <v>150</v>
      </c>
      <c r="D40" s="15" t="inlineStr"/>
    </row>
    <row r="41">
      <c r="A41" s="10" t="inlineStr">
        <is>
          <t>Total</t>
        </is>
      </c>
      <c r="B41" s="21">
        <f>SUM(B34:B40)</f>
        <v/>
      </c>
      <c r="C41" s="21">
        <f>SUM(C34:C40)</f>
        <v/>
      </c>
      <c r="D41" s="2" t="n"/>
    </row>
    <row r="42">
      <c r="A42" s="2" t="n"/>
      <c r="B42" s="2" t="n"/>
      <c r="C42" s="2" t="n"/>
      <c r="D42" s="2" t="n"/>
    </row>
    <row r="43">
      <c r="A43" s="10" t="inlineStr">
        <is>
          <t>Gasto mensual usado en el modelo</t>
        </is>
      </c>
      <c r="B43" s="21">
        <f>IF(Supuestos!$B$10="Actual",C41,B41)</f>
        <v/>
      </c>
      <c r="C43" s="2" t="n"/>
      <c r="D43" s="2" t="n"/>
    </row>
    <row r="44">
      <c r="A44" s="2" t="n"/>
      <c r="B44" s="2" t="n"/>
      <c r="C44" s="2" t="n"/>
      <c r="D44" s="2" t="n"/>
    </row>
    <row r="45">
      <c r="A45" s="12" t="inlineStr">
        <is>
          <t>Valores calculados</t>
        </is>
      </c>
      <c r="B45" s="13" t="n"/>
      <c r="C45" s="13" t="n"/>
      <c r="D45" s="2" t="n"/>
    </row>
    <row r="46">
      <c r="A46" s="2" t="inlineStr">
        <is>
          <t>TEM tarjeta</t>
        </is>
      </c>
      <c r="B46" s="22">
        <f>(1+Supuestos!$B$19)^(1/12)-1</f>
        <v/>
      </c>
      <c r="C46" s="2" t="n"/>
      <c r="D46" s="2" t="n"/>
    </row>
    <row r="47">
      <c r="A47" s="2" t="inlineStr">
        <is>
          <t>TEM ExtraCash actual</t>
        </is>
      </c>
      <c r="B47" s="22">
        <f>(1+Supuestos!$B$24)^(1/12)-1</f>
        <v/>
      </c>
      <c r="C47" s="2" t="n"/>
      <c r="D47" s="2" t="n"/>
    </row>
    <row r="48">
      <c r="A48" s="2" t="inlineStr">
        <is>
          <t>TEM préstamo nuevo</t>
        </is>
      </c>
      <c r="B48" s="22">
        <f>(1+Supuestos!$B$30)^(1/12)-1</f>
        <v/>
      </c>
      <c r="C48" s="2" t="n"/>
      <c r="D48" s="2" t="n"/>
    </row>
    <row r="49">
      <c r="A49" s="2" t="n"/>
      <c r="B49" s="2" t="n"/>
      <c r="C49" s="2" t="n"/>
      <c r="D49" s="2" t="n"/>
    </row>
    <row r="50">
      <c r="A50" s="10" t="inlineStr">
        <is>
          <t>Cuotas de la simulación Interbank (monto S/ 8,800, incluye seguro)</t>
        </is>
      </c>
      <c r="B50" s="2" t="n"/>
      <c r="C50" s="2" t="n"/>
      <c r="D50" s="2" t="n"/>
    </row>
    <row r="51">
      <c r="A51" s="11" t="inlineStr">
        <is>
          <t>Plazo</t>
        </is>
      </c>
      <c r="B51" s="11" t="inlineStr">
        <is>
          <t>Cuota</t>
        </is>
      </c>
      <c r="C51" s="2" t="n"/>
      <c r="D51" s="2" t="n"/>
    </row>
    <row r="52">
      <c r="A52" s="23" t="n">
        <v>24</v>
      </c>
      <c r="B52" s="16" t="n">
        <v>431.57</v>
      </c>
      <c r="C52" s="2" t="n"/>
      <c r="D52" s="2" t="n"/>
    </row>
    <row r="53">
      <c r="A53" s="23" t="n">
        <v>36</v>
      </c>
      <c r="B53" s="16" t="n">
        <v>309.5</v>
      </c>
      <c r="C53" s="2" t="n"/>
      <c r="D53" s="2" t="n"/>
    </row>
    <row r="54">
      <c r="A54" s="23" t="n">
        <v>48</v>
      </c>
      <c r="B54" s="16" t="n">
        <v>249.19</v>
      </c>
      <c r="C54" s="2" t="n"/>
      <c r="D54" s="2" t="n"/>
    </row>
    <row r="55">
      <c r="A55" s="2" t="n"/>
      <c r="B55" s="2" t="n"/>
      <c r="C55" s="2" t="n"/>
      <c r="D55" s="2" t="n"/>
    </row>
    <row r="56">
      <c r="A56" s="2" t="inlineStr">
        <is>
          <t>Cuota total del préstamo (escalada al monto)</t>
        </is>
      </c>
      <c r="B56" s="24">
        <f>INDEX($B$52:$B$54,MATCH(Supuestos!$B$29,$A$52:$A$54,0))*Supuestos!$B$28/8800</f>
        <v/>
      </c>
      <c r="C56" s="2" t="n"/>
      <c r="D56" s="2" t="n"/>
    </row>
    <row r="57">
      <c r="A57" s="2" t="inlineStr">
        <is>
          <t>Cuota sin seguro (capital + interés)</t>
        </is>
      </c>
      <c r="B57" s="24">
        <f>Supuestos!$B$28*Supuestos!$B$48/(1-(1+Supuestos!$B$48)^(-Supuestos!$B$29))</f>
        <v/>
      </c>
      <c r="C57" s="2" t="n"/>
      <c r="D57" s="2" t="n"/>
    </row>
    <row r="58">
      <c r="A58" s="2" t="inlineStr">
        <is>
          <t>Seguro mensual implícito</t>
        </is>
      </c>
      <c r="B58" s="24">
        <f>Supuestos!$B$56-Supuestos!$B$57</f>
        <v/>
      </c>
      <c r="C58" s="2" t="n"/>
      <c r="D58" s="2" t="n"/>
    </row>
    <row r="59">
      <c r="A59" s="2" t="n"/>
      <c r="B59" s="2" t="n"/>
      <c r="C59" s="2" t="n"/>
      <c r="D59" s="2" t="n"/>
    </row>
    <row r="60">
      <c r="A60" s="3" t="inlineStr">
        <is>
          <t>Notas:</t>
        </is>
      </c>
      <c r="B60" s="2" t="n"/>
      <c r="C60" s="2" t="n"/>
      <c r="D60" s="2" t="n"/>
    </row>
    <row r="61">
      <c r="A61" s="3" t="inlineStr">
        <is>
          <t>- Se asume que la tarjeta NO se usa para gastos nuevos desde hoy.</t>
        </is>
      </c>
      <c r="B61" s="2" t="n"/>
      <c r="C61" s="2" t="n"/>
      <c r="D61" s="2" t="n"/>
    </row>
    <row r="62">
      <c r="A62" s="3" t="inlineStr">
        <is>
          <t>- Se asume que la membresía de S/ 500 está exonerada.</t>
        </is>
      </c>
      <c r="B62" s="2" t="n"/>
      <c r="C62" s="2" t="n"/>
      <c r="D62" s="2" t="n"/>
    </row>
    <row r="63">
      <c r="A63" s="3" t="inlineStr">
        <is>
          <t>- El sueldo de fin de mes paga los gastos del mes siguiente. Octubre usa el efectivo actual.</t>
        </is>
      </c>
      <c r="B63" s="2" t="n"/>
      <c r="C63" s="2" t="n"/>
      <c r="D63" s="2" t="n"/>
    </row>
    <row r="64">
      <c r="A64" s="3" t="inlineStr">
        <is>
          <t>- El interés de la tarjeta se aproxima con la TEM sobre el saldo de inicio de mes.</t>
        </is>
      </c>
      <c r="B64" s="2" t="n"/>
      <c r="C64" s="2" t="n"/>
      <c r="D6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A1 Préstamo + solo cuota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3" t="inlineStr">
        <is>
          <t>Pide el préstamo, paga solo las cuotas y ahorra el sobrante.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5" t="inlineStr">
        <is>
          <t>Usa préstamo nuevo (1/0)</t>
        </is>
      </c>
      <c r="B3" s="17" t="n">
        <v>1</v>
      </c>
      <c r="C3" s="2" t="n"/>
      <c r="D3" s="25" t="inlineStr">
        <is>
          <t>Ahorro negativo = déficit: el plan no alcanza ese mes.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5" t="inlineStr">
        <is>
          <t>Prepagar EC actual (1/0)</t>
        </is>
      </c>
      <c r="B4" s="17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5" t="inlineStr">
        <is>
          <t>Prepagar préstamo nuevo (1/0)</t>
        </is>
      </c>
      <c r="B5" s="17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 ht="45" customHeight="1">
      <c r="A7" s="26" t="inlineStr">
        <is>
          <t>Mes</t>
        </is>
      </c>
      <c r="B7" s="26" t="inlineStr">
        <is>
          <t>Ingreso</t>
        </is>
      </c>
      <c r="C7" s="26" t="inlineStr">
        <is>
          <t>Devolución impuestos</t>
        </is>
      </c>
      <c r="D7" s="26" t="inlineStr">
        <is>
          <t>Gastos de vida</t>
        </is>
      </c>
      <c r="E7" s="26" t="inlineStr">
        <is>
          <t>Pensión</t>
        </is>
      </c>
      <c r="F7" s="26" t="inlineStr">
        <is>
          <t>Alquiler</t>
        </is>
      </c>
      <c r="G7" s="26" t="inlineStr">
        <is>
          <t>Disponible</t>
        </is>
      </c>
      <c r="H7" s="26" t="inlineStr">
        <is>
          <t>Tarjeta saldo inicial</t>
        </is>
      </c>
      <c r="I7" s="26" t="inlineStr">
        <is>
          <t>Pagado con préstamo</t>
        </is>
      </c>
      <c r="J7" s="26" t="inlineStr">
        <is>
          <t>Interés tarjeta</t>
        </is>
      </c>
      <c r="K7" s="26" t="inlineStr">
        <is>
          <t>Seguro tarjeta</t>
        </is>
      </c>
      <c r="L7" s="26" t="inlineStr">
        <is>
          <t>Pago extra tarjeta</t>
        </is>
      </c>
      <c r="M7" s="26" t="inlineStr">
        <is>
          <t>Tarjeta saldo final</t>
        </is>
      </c>
      <c r="N7" s="26" t="inlineStr">
        <is>
          <t>EC actual saldo inicial</t>
        </is>
      </c>
      <c r="O7" s="26" t="inlineStr">
        <is>
          <t>Interés EC</t>
        </is>
      </c>
      <c r="P7" s="26" t="inlineStr">
        <is>
          <t>Seguro EC</t>
        </is>
      </c>
      <c r="Q7" s="26" t="inlineStr">
        <is>
          <t>Cuota EC</t>
        </is>
      </c>
      <c r="R7" s="26" t="inlineStr">
        <is>
          <t>Prepago EC</t>
        </is>
      </c>
      <c r="S7" s="26" t="inlineStr">
        <is>
          <t>EC saldo final</t>
        </is>
      </c>
      <c r="T7" s="26" t="inlineStr">
        <is>
          <t>Préstamo nuevo saldo inicial</t>
        </is>
      </c>
      <c r="U7" s="26" t="inlineStr">
        <is>
          <t>Desembolso</t>
        </is>
      </c>
      <c r="V7" s="26" t="inlineStr">
        <is>
          <t>Interés préstamo</t>
        </is>
      </c>
      <c r="W7" s="26" t="inlineStr">
        <is>
          <t>Seguro préstamo</t>
        </is>
      </c>
      <c r="X7" s="26" t="inlineStr">
        <is>
          <t>Cuota préstamo</t>
        </is>
      </c>
      <c r="Y7" s="26" t="inlineStr">
        <is>
          <t>Prepago préstamo</t>
        </is>
      </c>
      <c r="Z7" s="26" t="inlineStr">
        <is>
          <t>Préstamo saldo final</t>
        </is>
      </c>
      <c r="AA7" s="26" t="inlineStr">
        <is>
          <t>Pagos obligatorios</t>
        </is>
      </c>
      <c r="AB7" s="26" t="inlineStr">
        <is>
          <t>Ahorro del mes</t>
        </is>
      </c>
      <c r="AC7" s="26" t="inlineStr">
        <is>
          <t>Ahorro acumulado</t>
        </is>
      </c>
      <c r="AD7" s="26" t="inlineStr">
        <is>
          <t>Deuda total</t>
        </is>
      </c>
      <c r="AE7" s="26" t="inlineStr">
        <is>
          <t>Costo financiero del mes</t>
        </is>
      </c>
      <c r="AF7" s="26" t="inlineStr">
        <is>
          <t>Costo financiero acumulado</t>
        </is>
      </c>
      <c r="AG7" s="26" t="inlineStr">
        <is>
          <t>Libre de deuda</t>
        </is>
      </c>
    </row>
    <row r="8">
      <c r="A8" s="27">
        <f>Supuestos!$B$5</f>
        <v/>
      </c>
      <c r="B8" s="28">
        <f>IF(A8=Supuestos!$B$5,Supuestos!$B$7,Supuestos!$B$6)</f>
        <v/>
      </c>
      <c r="C8" s="29">
        <f>IF(A8=Supuestos!$B$16,Supuestos!$B$15,0)</f>
        <v/>
      </c>
      <c r="D8" s="28">
        <f>IF(A8=Supuestos!$B$5,Supuestos!$B$8,Supuestos!$B$43)</f>
        <v/>
      </c>
      <c r="E8" s="29">
        <f>IF(AND(A8&gt;Supuestos!$B$5,A8&lt;=Supuestos!$B$12),Supuestos!$B$11,0)</f>
        <v/>
      </c>
      <c r="F8" s="29">
        <f>IF(A8&gt;=Supuestos!$B$14,Supuestos!$B$13,0)</f>
        <v/>
      </c>
      <c r="G8" s="29">
        <f>B8+C8-D8-E8-F8</f>
        <v/>
      </c>
      <c r="H8" s="28">
        <f>Supuestos!$B$18</f>
        <v/>
      </c>
      <c r="I8" s="29">
        <f>MIN(U8,H8)</f>
        <v/>
      </c>
      <c r="J8" s="29">
        <f>(H8-I8)*Supuestos!$B$46</f>
        <v/>
      </c>
      <c r="K8" s="29">
        <f>IF(H8-I8&gt;0.01,MIN(Supuestos!$B$21,(H8-I8)*Supuestos!$B$20),0)</f>
        <v/>
      </c>
      <c r="L8" s="29">
        <f>MIN(MAX(G8-AA8,0),H8-I8)</f>
        <v/>
      </c>
      <c r="M8" s="29">
        <f>H8-I8-L8</f>
        <v/>
      </c>
      <c r="N8" s="28">
        <f>Supuestos!$B$23</f>
        <v/>
      </c>
      <c r="O8" s="29">
        <f>IF(A8=Supuestos!$B$5,0,N8*Supuestos!$B$47)</f>
        <v/>
      </c>
      <c r="P8" s="29">
        <f>IF(AND(A8&gt;Supuestos!$B$5,N8&gt;0.01),Supuestos!$B$26,0)</f>
        <v/>
      </c>
      <c r="Q8" s="29">
        <f>IF(A8=Supuestos!$B$5,0,MIN(Supuestos!$B$25,N8+O8))</f>
        <v/>
      </c>
      <c r="R8" s="29">
        <f>$B$4*MIN(MAX(G8-AA8-L8,0),N8+O8-Q8)</f>
        <v/>
      </c>
      <c r="S8" s="29">
        <f>N8+O8-Q8-R8</f>
        <v/>
      </c>
      <c r="T8" s="29">
        <f>0</f>
        <v/>
      </c>
      <c r="U8" s="29">
        <f>IF(A8=Supuestos!$B$5,$B$3*Supuestos!$B$28,0)</f>
        <v/>
      </c>
      <c r="V8" s="29">
        <f>T8*Supuestos!$B$48</f>
        <v/>
      </c>
      <c r="W8" s="29">
        <f>IF(T8&gt;0.01,Supuestos!$B$58,0)</f>
        <v/>
      </c>
      <c r="X8" s="29">
        <f>MIN(Supuestos!$B$57,T8+V8)</f>
        <v/>
      </c>
      <c r="Y8" s="29">
        <f>$B$5*MIN(MAX(G8-AA8-L8-R8,0),T8+V8-X8)</f>
        <v/>
      </c>
      <c r="Z8" s="29">
        <f>T8+U8+V8-X8-Y8</f>
        <v/>
      </c>
      <c r="AA8" s="29">
        <f>J8+K8+P8+Q8+W8+X8</f>
        <v/>
      </c>
      <c r="AB8" s="29">
        <f>G8-AA8-L8-R8-Y8+U8-I8</f>
        <v/>
      </c>
      <c r="AC8" s="29">
        <f>AB8</f>
        <v/>
      </c>
      <c r="AD8" s="29">
        <f>M8+S8+Z8</f>
        <v/>
      </c>
      <c r="AE8" s="29">
        <f>J8+K8+O8+P8+V8+W8</f>
        <v/>
      </c>
      <c r="AF8" s="29">
        <f>AE8</f>
        <v/>
      </c>
      <c r="AG8" s="30">
        <f>IF(AD8&lt;0.01,1,0)</f>
        <v/>
      </c>
    </row>
    <row r="9">
      <c r="A9" s="27">
        <f>DATE(YEAR(A8),MONTH(A8)+1,1)</f>
        <v/>
      </c>
      <c r="B9" s="28">
        <f>IF(A9=Supuestos!$B$5,Supuestos!$B$7,Supuestos!$B$6)</f>
        <v/>
      </c>
      <c r="C9" s="29">
        <f>IF(A9=Supuestos!$B$16,Supuestos!$B$15,0)</f>
        <v/>
      </c>
      <c r="D9" s="28">
        <f>IF(A9=Supuestos!$B$5,Supuestos!$B$8,Supuestos!$B$43)</f>
        <v/>
      </c>
      <c r="E9" s="29">
        <f>IF(AND(A9&gt;Supuestos!$B$5,A9&lt;=Supuestos!$B$12),Supuestos!$B$11,0)</f>
        <v/>
      </c>
      <c r="F9" s="29">
        <f>IF(A9&gt;=Supuestos!$B$14,Supuestos!$B$13,0)</f>
        <v/>
      </c>
      <c r="G9" s="29">
        <f>B9+C9-D9-E9-F9</f>
        <v/>
      </c>
      <c r="H9" s="29">
        <f>M8</f>
        <v/>
      </c>
      <c r="I9" s="29">
        <f>MIN(U9,H9)</f>
        <v/>
      </c>
      <c r="J9" s="29">
        <f>(H9-I9)*Supuestos!$B$46</f>
        <v/>
      </c>
      <c r="K9" s="29">
        <f>IF(H9-I9&gt;0.01,MIN(Supuestos!$B$21,(H9-I9)*Supuestos!$B$20),0)</f>
        <v/>
      </c>
      <c r="L9" s="29">
        <f>MIN(MAX(G9-AA9,0),H9-I9)</f>
        <v/>
      </c>
      <c r="M9" s="29">
        <f>H9-I9-L9</f>
        <v/>
      </c>
      <c r="N9" s="29">
        <f>S8</f>
        <v/>
      </c>
      <c r="O9" s="29">
        <f>IF(A9=Supuestos!$B$5,0,N9*Supuestos!$B$47)</f>
        <v/>
      </c>
      <c r="P9" s="29">
        <f>IF(AND(A9&gt;Supuestos!$B$5,N9&gt;0.01),Supuestos!$B$26,0)</f>
        <v/>
      </c>
      <c r="Q9" s="29">
        <f>IF(A9=Supuestos!$B$5,0,MIN(Supuestos!$B$25,N9+O9))</f>
        <v/>
      </c>
      <c r="R9" s="29">
        <f>$B$4*MIN(MAX(G9-AA9-L9,0),N9+O9-Q9)</f>
        <v/>
      </c>
      <c r="S9" s="29">
        <f>N9+O9-Q9-R9</f>
        <v/>
      </c>
      <c r="T9" s="29">
        <f>Z8</f>
        <v/>
      </c>
      <c r="U9" s="29">
        <f>IF(A9=Supuestos!$B$5,$B$3*Supuestos!$B$28,0)</f>
        <v/>
      </c>
      <c r="V9" s="29">
        <f>T9*Supuestos!$B$48</f>
        <v/>
      </c>
      <c r="W9" s="29">
        <f>IF(T9&gt;0.01,Supuestos!$B$58,0)</f>
        <v/>
      </c>
      <c r="X9" s="29">
        <f>MIN(Supuestos!$B$57,T9+V9)</f>
        <v/>
      </c>
      <c r="Y9" s="29">
        <f>$B$5*MIN(MAX(G9-AA9-L9-R9,0),T9+V9-X9)</f>
        <v/>
      </c>
      <c r="Z9" s="29">
        <f>T9+U9+V9-X9-Y9</f>
        <v/>
      </c>
      <c r="AA9" s="29">
        <f>J9+K9+P9+Q9+W9+X9</f>
        <v/>
      </c>
      <c r="AB9" s="29">
        <f>G9-AA9-L9-R9-Y9+U9-I9</f>
        <v/>
      </c>
      <c r="AC9" s="29">
        <f>AC8+AB9</f>
        <v/>
      </c>
      <c r="AD9" s="29">
        <f>M9+S9+Z9</f>
        <v/>
      </c>
      <c r="AE9" s="29">
        <f>J9+K9+O9+P9+V9+W9</f>
        <v/>
      </c>
      <c r="AF9" s="29">
        <f>AF8+AE9</f>
        <v/>
      </c>
      <c r="AG9" s="30">
        <f>IF(AD9&lt;0.01,1,0)</f>
        <v/>
      </c>
    </row>
    <row r="10">
      <c r="A10" s="27">
        <f>DATE(YEAR(A9),MONTH(A9)+1,1)</f>
        <v/>
      </c>
      <c r="B10" s="28">
        <f>IF(A10=Supuestos!$B$5,Supuestos!$B$7,Supuestos!$B$6)</f>
        <v/>
      </c>
      <c r="C10" s="29">
        <f>IF(A10=Supuestos!$B$16,Supuestos!$B$15,0)</f>
        <v/>
      </c>
      <c r="D10" s="28">
        <f>IF(A10=Supuestos!$B$5,Supuestos!$B$8,Supuestos!$B$43)</f>
        <v/>
      </c>
      <c r="E10" s="29">
        <f>IF(AND(A10&gt;Supuestos!$B$5,A10&lt;=Supuestos!$B$12),Supuestos!$B$11,0)</f>
        <v/>
      </c>
      <c r="F10" s="29">
        <f>IF(A10&gt;=Supuestos!$B$14,Supuestos!$B$13,0)</f>
        <v/>
      </c>
      <c r="G10" s="29">
        <f>B10+C10-D10-E10-F10</f>
        <v/>
      </c>
      <c r="H10" s="29">
        <f>M9</f>
        <v/>
      </c>
      <c r="I10" s="29">
        <f>MIN(U10,H10)</f>
        <v/>
      </c>
      <c r="J10" s="29">
        <f>(H10-I10)*Supuestos!$B$46</f>
        <v/>
      </c>
      <c r="K10" s="29">
        <f>IF(H10-I10&gt;0.01,MIN(Supuestos!$B$21,(H10-I10)*Supuestos!$B$20),0)</f>
        <v/>
      </c>
      <c r="L10" s="29">
        <f>MIN(MAX(G10-AA10,0),H10-I10)</f>
        <v/>
      </c>
      <c r="M10" s="29">
        <f>H10-I10-L10</f>
        <v/>
      </c>
      <c r="N10" s="29">
        <f>S9</f>
        <v/>
      </c>
      <c r="O10" s="29">
        <f>IF(A10=Supuestos!$B$5,0,N10*Supuestos!$B$47)</f>
        <v/>
      </c>
      <c r="P10" s="29">
        <f>IF(AND(A10&gt;Supuestos!$B$5,N10&gt;0.01),Supuestos!$B$26,0)</f>
        <v/>
      </c>
      <c r="Q10" s="29">
        <f>IF(A10=Supuestos!$B$5,0,MIN(Supuestos!$B$25,N10+O10))</f>
        <v/>
      </c>
      <c r="R10" s="29">
        <f>$B$4*MIN(MAX(G10-AA10-L10,0),N10+O10-Q10)</f>
        <v/>
      </c>
      <c r="S10" s="29">
        <f>N10+O10-Q10-R10</f>
        <v/>
      </c>
      <c r="T10" s="29">
        <f>Z9</f>
        <v/>
      </c>
      <c r="U10" s="29">
        <f>IF(A10=Supuestos!$B$5,$B$3*Supuestos!$B$28,0)</f>
        <v/>
      </c>
      <c r="V10" s="29">
        <f>T10*Supuestos!$B$48</f>
        <v/>
      </c>
      <c r="W10" s="29">
        <f>IF(T10&gt;0.01,Supuestos!$B$58,0)</f>
        <v/>
      </c>
      <c r="X10" s="29">
        <f>MIN(Supuestos!$B$57,T10+V10)</f>
        <v/>
      </c>
      <c r="Y10" s="29">
        <f>$B$5*MIN(MAX(G10-AA10-L10-R10,0),T10+V10-X10)</f>
        <v/>
      </c>
      <c r="Z10" s="29">
        <f>T10+U10+V10-X10-Y10</f>
        <v/>
      </c>
      <c r="AA10" s="29">
        <f>J10+K10+P10+Q10+W10+X10</f>
        <v/>
      </c>
      <c r="AB10" s="29">
        <f>G10-AA10-L10-R10-Y10+U10-I10</f>
        <v/>
      </c>
      <c r="AC10" s="29">
        <f>AC9+AB10</f>
        <v/>
      </c>
      <c r="AD10" s="29">
        <f>M10+S10+Z10</f>
        <v/>
      </c>
      <c r="AE10" s="29">
        <f>J10+K10+O10+P10+V10+W10</f>
        <v/>
      </c>
      <c r="AF10" s="29">
        <f>AF9+AE10</f>
        <v/>
      </c>
      <c r="AG10" s="30">
        <f>IF(AD10&lt;0.01,1,0)</f>
        <v/>
      </c>
    </row>
    <row r="11">
      <c r="A11" s="27">
        <f>DATE(YEAR(A10),MONTH(A10)+1,1)</f>
        <v/>
      </c>
      <c r="B11" s="28">
        <f>IF(A11=Supuestos!$B$5,Supuestos!$B$7,Supuestos!$B$6)</f>
        <v/>
      </c>
      <c r="C11" s="29">
        <f>IF(A11=Supuestos!$B$16,Supuestos!$B$15,0)</f>
        <v/>
      </c>
      <c r="D11" s="28">
        <f>IF(A11=Supuestos!$B$5,Supuestos!$B$8,Supuestos!$B$43)</f>
        <v/>
      </c>
      <c r="E11" s="29">
        <f>IF(AND(A11&gt;Supuestos!$B$5,A11&lt;=Supuestos!$B$12),Supuestos!$B$11,0)</f>
        <v/>
      </c>
      <c r="F11" s="29">
        <f>IF(A11&gt;=Supuestos!$B$14,Supuestos!$B$13,0)</f>
        <v/>
      </c>
      <c r="G11" s="29">
        <f>B11+C11-D11-E11-F11</f>
        <v/>
      </c>
      <c r="H11" s="29">
        <f>M10</f>
        <v/>
      </c>
      <c r="I11" s="29">
        <f>MIN(U11,H11)</f>
        <v/>
      </c>
      <c r="J11" s="29">
        <f>(H11-I11)*Supuestos!$B$46</f>
        <v/>
      </c>
      <c r="K11" s="29">
        <f>IF(H11-I11&gt;0.01,MIN(Supuestos!$B$21,(H11-I11)*Supuestos!$B$20),0)</f>
        <v/>
      </c>
      <c r="L11" s="29">
        <f>MIN(MAX(G11-AA11,0),H11-I11)</f>
        <v/>
      </c>
      <c r="M11" s="29">
        <f>H11-I11-L11</f>
        <v/>
      </c>
      <c r="N11" s="29">
        <f>S10</f>
        <v/>
      </c>
      <c r="O11" s="29">
        <f>IF(A11=Supuestos!$B$5,0,N11*Supuestos!$B$47)</f>
        <v/>
      </c>
      <c r="P11" s="29">
        <f>IF(AND(A11&gt;Supuestos!$B$5,N11&gt;0.01),Supuestos!$B$26,0)</f>
        <v/>
      </c>
      <c r="Q11" s="29">
        <f>IF(A11=Supuestos!$B$5,0,MIN(Supuestos!$B$25,N11+O11))</f>
        <v/>
      </c>
      <c r="R11" s="29">
        <f>$B$4*MIN(MAX(G11-AA11-L11,0),N11+O11-Q11)</f>
        <v/>
      </c>
      <c r="S11" s="29">
        <f>N11+O11-Q11-R11</f>
        <v/>
      </c>
      <c r="T11" s="29">
        <f>Z10</f>
        <v/>
      </c>
      <c r="U11" s="29">
        <f>IF(A11=Supuestos!$B$5,$B$3*Supuestos!$B$28,0)</f>
        <v/>
      </c>
      <c r="V11" s="29">
        <f>T11*Supuestos!$B$48</f>
        <v/>
      </c>
      <c r="W11" s="29">
        <f>IF(T11&gt;0.01,Supuestos!$B$58,0)</f>
        <v/>
      </c>
      <c r="X11" s="29">
        <f>MIN(Supuestos!$B$57,T11+V11)</f>
        <v/>
      </c>
      <c r="Y11" s="29">
        <f>$B$5*MIN(MAX(G11-AA11-L11-R11,0),T11+V11-X11)</f>
        <v/>
      </c>
      <c r="Z11" s="29">
        <f>T11+U11+V11-X11-Y11</f>
        <v/>
      </c>
      <c r="AA11" s="29">
        <f>J11+K11+P11+Q11+W11+X11</f>
        <v/>
      </c>
      <c r="AB11" s="29">
        <f>G11-AA11-L11-R11-Y11+U11-I11</f>
        <v/>
      </c>
      <c r="AC11" s="29">
        <f>AC10+AB11</f>
        <v/>
      </c>
      <c r="AD11" s="29">
        <f>M11+S11+Z11</f>
        <v/>
      </c>
      <c r="AE11" s="29">
        <f>J11+K11+O11+P11+V11+W11</f>
        <v/>
      </c>
      <c r="AF11" s="29">
        <f>AF10+AE11</f>
        <v/>
      </c>
      <c r="AG11" s="30">
        <f>IF(AD11&lt;0.01,1,0)</f>
        <v/>
      </c>
    </row>
    <row r="12">
      <c r="A12" s="27">
        <f>DATE(YEAR(A11),MONTH(A11)+1,1)</f>
        <v/>
      </c>
      <c r="B12" s="28">
        <f>IF(A12=Supuestos!$B$5,Supuestos!$B$7,Supuestos!$B$6)</f>
        <v/>
      </c>
      <c r="C12" s="29">
        <f>IF(A12=Supuestos!$B$16,Supuestos!$B$15,0)</f>
        <v/>
      </c>
      <c r="D12" s="28">
        <f>IF(A12=Supuestos!$B$5,Supuestos!$B$8,Supuestos!$B$43)</f>
        <v/>
      </c>
      <c r="E12" s="29">
        <f>IF(AND(A12&gt;Supuestos!$B$5,A12&lt;=Supuestos!$B$12),Supuestos!$B$11,0)</f>
        <v/>
      </c>
      <c r="F12" s="29">
        <f>IF(A12&gt;=Supuestos!$B$14,Supuestos!$B$13,0)</f>
        <v/>
      </c>
      <c r="G12" s="29">
        <f>B12+C12-D12-E12-F12</f>
        <v/>
      </c>
      <c r="H12" s="29">
        <f>M11</f>
        <v/>
      </c>
      <c r="I12" s="29">
        <f>MIN(U12,H12)</f>
        <v/>
      </c>
      <c r="J12" s="29">
        <f>(H12-I12)*Supuestos!$B$46</f>
        <v/>
      </c>
      <c r="K12" s="29">
        <f>IF(H12-I12&gt;0.01,MIN(Supuestos!$B$21,(H12-I12)*Supuestos!$B$20),0)</f>
        <v/>
      </c>
      <c r="L12" s="29">
        <f>MIN(MAX(G12-AA12,0),H12-I12)</f>
        <v/>
      </c>
      <c r="M12" s="29">
        <f>H12-I12-L12</f>
        <v/>
      </c>
      <c r="N12" s="29">
        <f>S11</f>
        <v/>
      </c>
      <c r="O12" s="29">
        <f>IF(A12=Supuestos!$B$5,0,N12*Supuestos!$B$47)</f>
        <v/>
      </c>
      <c r="P12" s="29">
        <f>IF(AND(A12&gt;Supuestos!$B$5,N12&gt;0.01),Supuestos!$B$26,0)</f>
        <v/>
      </c>
      <c r="Q12" s="29">
        <f>IF(A12=Supuestos!$B$5,0,MIN(Supuestos!$B$25,N12+O12))</f>
        <v/>
      </c>
      <c r="R12" s="29">
        <f>$B$4*MIN(MAX(G12-AA12-L12,0),N12+O12-Q12)</f>
        <v/>
      </c>
      <c r="S12" s="29">
        <f>N12+O12-Q12-R12</f>
        <v/>
      </c>
      <c r="T12" s="29">
        <f>Z11</f>
        <v/>
      </c>
      <c r="U12" s="29">
        <f>IF(A12=Supuestos!$B$5,$B$3*Supuestos!$B$28,0)</f>
        <v/>
      </c>
      <c r="V12" s="29">
        <f>T12*Supuestos!$B$48</f>
        <v/>
      </c>
      <c r="W12" s="29">
        <f>IF(T12&gt;0.01,Supuestos!$B$58,0)</f>
        <v/>
      </c>
      <c r="X12" s="29">
        <f>MIN(Supuestos!$B$57,T12+V12)</f>
        <v/>
      </c>
      <c r="Y12" s="29">
        <f>$B$5*MIN(MAX(G12-AA12-L12-R12,0),T12+V12-X12)</f>
        <v/>
      </c>
      <c r="Z12" s="29">
        <f>T12+U12+V12-X12-Y12</f>
        <v/>
      </c>
      <c r="AA12" s="29">
        <f>J12+K12+P12+Q12+W12+X12</f>
        <v/>
      </c>
      <c r="AB12" s="29">
        <f>G12-AA12-L12-R12-Y12+U12-I12</f>
        <v/>
      </c>
      <c r="AC12" s="29">
        <f>AC11+AB12</f>
        <v/>
      </c>
      <c r="AD12" s="29">
        <f>M12+S12+Z12</f>
        <v/>
      </c>
      <c r="AE12" s="29">
        <f>J12+K12+O12+P12+V12+W12</f>
        <v/>
      </c>
      <c r="AF12" s="29">
        <f>AF11+AE12</f>
        <v/>
      </c>
      <c r="AG12" s="30">
        <f>IF(AD12&lt;0.01,1,0)</f>
        <v/>
      </c>
    </row>
    <row r="13">
      <c r="A13" s="27">
        <f>DATE(YEAR(A12),MONTH(A12)+1,1)</f>
        <v/>
      </c>
      <c r="B13" s="28">
        <f>IF(A13=Supuestos!$B$5,Supuestos!$B$7,Supuestos!$B$6)</f>
        <v/>
      </c>
      <c r="C13" s="29">
        <f>IF(A13=Supuestos!$B$16,Supuestos!$B$15,0)</f>
        <v/>
      </c>
      <c r="D13" s="28">
        <f>IF(A13=Supuestos!$B$5,Supuestos!$B$8,Supuestos!$B$43)</f>
        <v/>
      </c>
      <c r="E13" s="29">
        <f>IF(AND(A13&gt;Supuestos!$B$5,A13&lt;=Supuestos!$B$12),Supuestos!$B$11,0)</f>
        <v/>
      </c>
      <c r="F13" s="29">
        <f>IF(A13&gt;=Supuestos!$B$14,Supuestos!$B$13,0)</f>
        <v/>
      </c>
      <c r="G13" s="29">
        <f>B13+C13-D13-E13-F13</f>
        <v/>
      </c>
      <c r="H13" s="29">
        <f>M12</f>
        <v/>
      </c>
      <c r="I13" s="29">
        <f>MIN(U13,H13)</f>
        <v/>
      </c>
      <c r="J13" s="29">
        <f>(H13-I13)*Supuestos!$B$46</f>
        <v/>
      </c>
      <c r="K13" s="29">
        <f>IF(H13-I13&gt;0.01,MIN(Supuestos!$B$21,(H13-I13)*Supuestos!$B$20),0)</f>
        <v/>
      </c>
      <c r="L13" s="29">
        <f>MIN(MAX(G13-AA13,0),H13-I13)</f>
        <v/>
      </c>
      <c r="M13" s="29">
        <f>H13-I13-L13</f>
        <v/>
      </c>
      <c r="N13" s="29">
        <f>S12</f>
        <v/>
      </c>
      <c r="O13" s="29">
        <f>IF(A13=Supuestos!$B$5,0,N13*Supuestos!$B$47)</f>
        <v/>
      </c>
      <c r="P13" s="29">
        <f>IF(AND(A13&gt;Supuestos!$B$5,N13&gt;0.01),Supuestos!$B$26,0)</f>
        <v/>
      </c>
      <c r="Q13" s="29">
        <f>IF(A13=Supuestos!$B$5,0,MIN(Supuestos!$B$25,N13+O13))</f>
        <v/>
      </c>
      <c r="R13" s="29">
        <f>$B$4*MIN(MAX(G13-AA13-L13,0),N13+O13-Q13)</f>
        <v/>
      </c>
      <c r="S13" s="29">
        <f>N13+O13-Q13-R13</f>
        <v/>
      </c>
      <c r="T13" s="29">
        <f>Z12</f>
        <v/>
      </c>
      <c r="U13" s="29">
        <f>IF(A13=Supuestos!$B$5,$B$3*Supuestos!$B$28,0)</f>
        <v/>
      </c>
      <c r="V13" s="29">
        <f>T13*Supuestos!$B$48</f>
        <v/>
      </c>
      <c r="W13" s="29">
        <f>IF(T13&gt;0.01,Supuestos!$B$58,0)</f>
        <v/>
      </c>
      <c r="X13" s="29">
        <f>MIN(Supuestos!$B$57,T13+V13)</f>
        <v/>
      </c>
      <c r="Y13" s="29">
        <f>$B$5*MIN(MAX(G13-AA13-L13-R13,0),T13+V13-X13)</f>
        <v/>
      </c>
      <c r="Z13" s="29">
        <f>T13+U13+V13-X13-Y13</f>
        <v/>
      </c>
      <c r="AA13" s="29">
        <f>J13+K13+P13+Q13+W13+X13</f>
        <v/>
      </c>
      <c r="AB13" s="29">
        <f>G13-AA13-L13-R13-Y13+U13-I13</f>
        <v/>
      </c>
      <c r="AC13" s="29">
        <f>AC12+AB13</f>
        <v/>
      </c>
      <c r="AD13" s="29">
        <f>M13+S13+Z13</f>
        <v/>
      </c>
      <c r="AE13" s="29">
        <f>J13+K13+O13+P13+V13+W13</f>
        <v/>
      </c>
      <c r="AF13" s="29">
        <f>AF12+AE13</f>
        <v/>
      </c>
      <c r="AG13" s="30">
        <f>IF(AD13&lt;0.01,1,0)</f>
        <v/>
      </c>
    </row>
    <row r="14">
      <c r="A14" s="27">
        <f>DATE(YEAR(A13),MONTH(A13)+1,1)</f>
        <v/>
      </c>
      <c r="B14" s="28">
        <f>IF(A14=Supuestos!$B$5,Supuestos!$B$7,Supuestos!$B$6)</f>
        <v/>
      </c>
      <c r="C14" s="29">
        <f>IF(A14=Supuestos!$B$16,Supuestos!$B$15,0)</f>
        <v/>
      </c>
      <c r="D14" s="28">
        <f>IF(A14=Supuestos!$B$5,Supuestos!$B$8,Supuestos!$B$43)</f>
        <v/>
      </c>
      <c r="E14" s="29">
        <f>IF(AND(A14&gt;Supuestos!$B$5,A14&lt;=Supuestos!$B$12),Supuestos!$B$11,0)</f>
        <v/>
      </c>
      <c r="F14" s="29">
        <f>IF(A14&gt;=Supuestos!$B$14,Supuestos!$B$13,0)</f>
        <v/>
      </c>
      <c r="G14" s="29">
        <f>B14+C14-D14-E14-F14</f>
        <v/>
      </c>
      <c r="H14" s="29">
        <f>M13</f>
        <v/>
      </c>
      <c r="I14" s="29">
        <f>MIN(U14,H14)</f>
        <v/>
      </c>
      <c r="J14" s="29">
        <f>(H14-I14)*Supuestos!$B$46</f>
        <v/>
      </c>
      <c r="K14" s="29">
        <f>IF(H14-I14&gt;0.01,MIN(Supuestos!$B$21,(H14-I14)*Supuestos!$B$20),0)</f>
        <v/>
      </c>
      <c r="L14" s="29">
        <f>MIN(MAX(G14-AA14,0),H14-I14)</f>
        <v/>
      </c>
      <c r="M14" s="29">
        <f>H14-I14-L14</f>
        <v/>
      </c>
      <c r="N14" s="29">
        <f>S13</f>
        <v/>
      </c>
      <c r="O14" s="29">
        <f>IF(A14=Supuestos!$B$5,0,N14*Supuestos!$B$47)</f>
        <v/>
      </c>
      <c r="P14" s="29">
        <f>IF(AND(A14&gt;Supuestos!$B$5,N14&gt;0.01),Supuestos!$B$26,0)</f>
        <v/>
      </c>
      <c r="Q14" s="29">
        <f>IF(A14=Supuestos!$B$5,0,MIN(Supuestos!$B$25,N14+O14))</f>
        <v/>
      </c>
      <c r="R14" s="29">
        <f>$B$4*MIN(MAX(G14-AA14-L14,0),N14+O14-Q14)</f>
        <v/>
      </c>
      <c r="S14" s="29">
        <f>N14+O14-Q14-R14</f>
        <v/>
      </c>
      <c r="T14" s="29">
        <f>Z13</f>
        <v/>
      </c>
      <c r="U14" s="29">
        <f>IF(A14=Supuestos!$B$5,$B$3*Supuestos!$B$28,0)</f>
        <v/>
      </c>
      <c r="V14" s="29">
        <f>T14*Supuestos!$B$48</f>
        <v/>
      </c>
      <c r="W14" s="29">
        <f>IF(T14&gt;0.01,Supuestos!$B$58,0)</f>
        <v/>
      </c>
      <c r="X14" s="29">
        <f>MIN(Supuestos!$B$57,T14+V14)</f>
        <v/>
      </c>
      <c r="Y14" s="29">
        <f>$B$5*MIN(MAX(G14-AA14-L14-R14,0),T14+V14-X14)</f>
        <v/>
      </c>
      <c r="Z14" s="29">
        <f>T14+U14+V14-X14-Y14</f>
        <v/>
      </c>
      <c r="AA14" s="29">
        <f>J14+K14+P14+Q14+W14+X14</f>
        <v/>
      </c>
      <c r="AB14" s="29">
        <f>G14-AA14-L14-R14-Y14+U14-I14</f>
        <v/>
      </c>
      <c r="AC14" s="29">
        <f>AC13+AB14</f>
        <v/>
      </c>
      <c r="AD14" s="29">
        <f>M14+S14+Z14</f>
        <v/>
      </c>
      <c r="AE14" s="29">
        <f>J14+K14+O14+P14+V14+W14</f>
        <v/>
      </c>
      <c r="AF14" s="29">
        <f>AF13+AE14</f>
        <v/>
      </c>
      <c r="AG14" s="30">
        <f>IF(AD14&lt;0.01,1,0)</f>
        <v/>
      </c>
    </row>
    <row r="15">
      <c r="A15" s="27">
        <f>DATE(YEAR(A14),MONTH(A14)+1,1)</f>
        <v/>
      </c>
      <c r="B15" s="28">
        <f>IF(A15=Supuestos!$B$5,Supuestos!$B$7,Supuestos!$B$6)</f>
        <v/>
      </c>
      <c r="C15" s="29">
        <f>IF(A15=Supuestos!$B$16,Supuestos!$B$15,0)</f>
        <v/>
      </c>
      <c r="D15" s="28">
        <f>IF(A15=Supuestos!$B$5,Supuestos!$B$8,Supuestos!$B$43)</f>
        <v/>
      </c>
      <c r="E15" s="29">
        <f>IF(AND(A15&gt;Supuestos!$B$5,A15&lt;=Supuestos!$B$12),Supuestos!$B$11,0)</f>
        <v/>
      </c>
      <c r="F15" s="29">
        <f>IF(A15&gt;=Supuestos!$B$14,Supuestos!$B$13,0)</f>
        <v/>
      </c>
      <c r="G15" s="29">
        <f>B15+C15-D15-E15-F15</f>
        <v/>
      </c>
      <c r="H15" s="29">
        <f>M14</f>
        <v/>
      </c>
      <c r="I15" s="29">
        <f>MIN(U15,H15)</f>
        <v/>
      </c>
      <c r="J15" s="29">
        <f>(H15-I15)*Supuestos!$B$46</f>
        <v/>
      </c>
      <c r="K15" s="29">
        <f>IF(H15-I15&gt;0.01,MIN(Supuestos!$B$21,(H15-I15)*Supuestos!$B$20),0)</f>
        <v/>
      </c>
      <c r="L15" s="29">
        <f>MIN(MAX(G15-AA15,0),H15-I15)</f>
        <v/>
      </c>
      <c r="M15" s="29">
        <f>H15-I15-L15</f>
        <v/>
      </c>
      <c r="N15" s="29">
        <f>S14</f>
        <v/>
      </c>
      <c r="O15" s="29">
        <f>IF(A15=Supuestos!$B$5,0,N15*Supuestos!$B$47)</f>
        <v/>
      </c>
      <c r="P15" s="29">
        <f>IF(AND(A15&gt;Supuestos!$B$5,N15&gt;0.01),Supuestos!$B$26,0)</f>
        <v/>
      </c>
      <c r="Q15" s="29">
        <f>IF(A15=Supuestos!$B$5,0,MIN(Supuestos!$B$25,N15+O15))</f>
        <v/>
      </c>
      <c r="R15" s="29">
        <f>$B$4*MIN(MAX(G15-AA15-L15,0),N15+O15-Q15)</f>
        <v/>
      </c>
      <c r="S15" s="29">
        <f>N15+O15-Q15-R15</f>
        <v/>
      </c>
      <c r="T15" s="29">
        <f>Z14</f>
        <v/>
      </c>
      <c r="U15" s="29">
        <f>IF(A15=Supuestos!$B$5,$B$3*Supuestos!$B$28,0)</f>
        <v/>
      </c>
      <c r="V15" s="29">
        <f>T15*Supuestos!$B$48</f>
        <v/>
      </c>
      <c r="W15" s="29">
        <f>IF(T15&gt;0.01,Supuestos!$B$58,0)</f>
        <v/>
      </c>
      <c r="X15" s="29">
        <f>MIN(Supuestos!$B$57,T15+V15)</f>
        <v/>
      </c>
      <c r="Y15" s="29">
        <f>$B$5*MIN(MAX(G15-AA15-L15-R15,0),T15+V15-X15)</f>
        <v/>
      </c>
      <c r="Z15" s="29">
        <f>T15+U15+V15-X15-Y15</f>
        <v/>
      </c>
      <c r="AA15" s="29">
        <f>J15+K15+P15+Q15+W15+X15</f>
        <v/>
      </c>
      <c r="AB15" s="29">
        <f>G15-AA15-L15-R15-Y15+U15-I15</f>
        <v/>
      </c>
      <c r="AC15" s="29">
        <f>AC14+AB15</f>
        <v/>
      </c>
      <c r="AD15" s="29">
        <f>M15+S15+Z15</f>
        <v/>
      </c>
      <c r="AE15" s="29">
        <f>J15+K15+O15+P15+V15+W15</f>
        <v/>
      </c>
      <c r="AF15" s="29">
        <f>AF14+AE15</f>
        <v/>
      </c>
      <c r="AG15" s="30">
        <f>IF(AD15&lt;0.01,1,0)</f>
        <v/>
      </c>
    </row>
    <row r="16">
      <c r="A16" s="27">
        <f>DATE(YEAR(A15),MONTH(A15)+1,1)</f>
        <v/>
      </c>
      <c r="B16" s="28">
        <f>IF(A16=Supuestos!$B$5,Supuestos!$B$7,Supuestos!$B$6)</f>
        <v/>
      </c>
      <c r="C16" s="29">
        <f>IF(A16=Supuestos!$B$16,Supuestos!$B$15,0)</f>
        <v/>
      </c>
      <c r="D16" s="28">
        <f>IF(A16=Supuestos!$B$5,Supuestos!$B$8,Supuestos!$B$43)</f>
        <v/>
      </c>
      <c r="E16" s="29">
        <f>IF(AND(A16&gt;Supuestos!$B$5,A16&lt;=Supuestos!$B$12),Supuestos!$B$11,0)</f>
        <v/>
      </c>
      <c r="F16" s="29">
        <f>IF(A16&gt;=Supuestos!$B$14,Supuestos!$B$13,0)</f>
        <v/>
      </c>
      <c r="G16" s="29">
        <f>B16+C16-D16-E16-F16</f>
        <v/>
      </c>
      <c r="H16" s="29">
        <f>M15</f>
        <v/>
      </c>
      <c r="I16" s="29">
        <f>MIN(U16,H16)</f>
        <v/>
      </c>
      <c r="J16" s="29">
        <f>(H16-I16)*Supuestos!$B$46</f>
        <v/>
      </c>
      <c r="K16" s="29">
        <f>IF(H16-I16&gt;0.01,MIN(Supuestos!$B$21,(H16-I16)*Supuestos!$B$20),0)</f>
        <v/>
      </c>
      <c r="L16" s="29">
        <f>MIN(MAX(G16-AA16,0),H16-I16)</f>
        <v/>
      </c>
      <c r="M16" s="29">
        <f>H16-I16-L16</f>
        <v/>
      </c>
      <c r="N16" s="29">
        <f>S15</f>
        <v/>
      </c>
      <c r="O16" s="29">
        <f>IF(A16=Supuestos!$B$5,0,N16*Supuestos!$B$47)</f>
        <v/>
      </c>
      <c r="P16" s="29">
        <f>IF(AND(A16&gt;Supuestos!$B$5,N16&gt;0.01),Supuestos!$B$26,0)</f>
        <v/>
      </c>
      <c r="Q16" s="29">
        <f>IF(A16=Supuestos!$B$5,0,MIN(Supuestos!$B$25,N16+O16))</f>
        <v/>
      </c>
      <c r="R16" s="29">
        <f>$B$4*MIN(MAX(G16-AA16-L16,0),N16+O16-Q16)</f>
        <v/>
      </c>
      <c r="S16" s="29">
        <f>N16+O16-Q16-R16</f>
        <v/>
      </c>
      <c r="T16" s="29">
        <f>Z15</f>
        <v/>
      </c>
      <c r="U16" s="29">
        <f>IF(A16=Supuestos!$B$5,$B$3*Supuestos!$B$28,0)</f>
        <v/>
      </c>
      <c r="V16" s="29">
        <f>T16*Supuestos!$B$48</f>
        <v/>
      </c>
      <c r="W16" s="29">
        <f>IF(T16&gt;0.01,Supuestos!$B$58,0)</f>
        <v/>
      </c>
      <c r="X16" s="29">
        <f>MIN(Supuestos!$B$57,T16+V16)</f>
        <v/>
      </c>
      <c r="Y16" s="29">
        <f>$B$5*MIN(MAX(G16-AA16-L16-R16,0),T16+V16-X16)</f>
        <v/>
      </c>
      <c r="Z16" s="29">
        <f>T16+U16+V16-X16-Y16</f>
        <v/>
      </c>
      <c r="AA16" s="29">
        <f>J16+K16+P16+Q16+W16+X16</f>
        <v/>
      </c>
      <c r="AB16" s="29">
        <f>G16-AA16-L16-R16-Y16+U16-I16</f>
        <v/>
      </c>
      <c r="AC16" s="29">
        <f>AC15+AB16</f>
        <v/>
      </c>
      <c r="AD16" s="29">
        <f>M16+S16+Z16</f>
        <v/>
      </c>
      <c r="AE16" s="29">
        <f>J16+K16+O16+P16+V16+W16</f>
        <v/>
      </c>
      <c r="AF16" s="29">
        <f>AF15+AE16</f>
        <v/>
      </c>
      <c r="AG16" s="30">
        <f>IF(AD16&lt;0.01,1,0)</f>
        <v/>
      </c>
    </row>
    <row r="17">
      <c r="A17" s="27">
        <f>DATE(YEAR(A16),MONTH(A16)+1,1)</f>
        <v/>
      </c>
      <c r="B17" s="28">
        <f>IF(A17=Supuestos!$B$5,Supuestos!$B$7,Supuestos!$B$6)</f>
        <v/>
      </c>
      <c r="C17" s="29">
        <f>IF(A17=Supuestos!$B$16,Supuestos!$B$15,0)</f>
        <v/>
      </c>
      <c r="D17" s="28">
        <f>IF(A17=Supuestos!$B$5,Supuestos!$B$8,Supuestos!$B$43)</f>
        <v/>
      </c>
      <c r="E17" s="29">
        <f>IF(AND(A17&gt;Supuestos!$B$5,A17&lt;=Supuestos!$B$12),Supuestos!$B$11,0)</f>
        <v/>
      </c>
      <c r="F17" s="29">
        <f>IF(A17&gt;=Supuestos!$B$14,Supuestos!$B$13,0)</f>
        <v/>
      </c>
      <c r="G17" s="29">
        <f>B17+C17-D17-E17-F17</f>
        <v/>
      </c>
      <c r="H17" s="29">
        <f>M16</f>
        <v/>
      </c>
      <c r="I17" s="29">
        <f>MIN(U17,H17)</f>
        <v/>
      </c>
      <c r="J17" s="29">
        <f>(H17-I17)*Supuestos!$B$46</f>
        <v/>
      </c>
      <c r="K17" s="29">
        <f>IF(H17-I17&gt;0.01,MIN(Supuestos!$B$21,(H17-I17)*Supuestos!$B$20),0)</f>
        <v/>
      </c>
      <c r="L17" s="29">
        <f>MIN(MAX(G17-AA17,0),H17-I17)</f>
        <v/>
      </c>
      <c r="M17" s="29">
        <f>H17-I17-L17</f>
        <v/>
      </c>
      <c r="N17" s="29">
        <f>S16</f>
        <v/>
      </c>
      <c r="O17" s="29">
        <f>IF(A17=Supuestos!$B$5,0,N17*Supuestos!$B$47)</f>
        <v/>
      </c>
      <c r="P17" s="29">
        <f>IF(AND(A17&gt;Supuestos!$B$5,N17&gt;0.01),Supuestos!$B$26,0)</f>
        <v/>
      </c>
      <c r="Q17" s="29">
        <f>IF(A17=Supuestos!$B$5,0,MIN(Supuestos!$B$25,N17+O17))</f>
        <v/>
      </c>
      <c r="R17" s="29">
        <f>$B$4*MIN(MAX(G17-AA17-L17,0),N17+O17-Q17)</f>
        <v/>
      </c>
      <c r="S17" s="29">
        <f>N17+O17-Q17-R17</f>
        <v/>
      </c>
      <c r="T17" s="29">
        <f>Z16</f>
        <v/>
      </c>
      <c r="U17" s="29">
        <f>IF(A17=Supuestos!$B$5,$B$3*Supuestos!$B$28,0)</f>
        <v/>
      </c>
      <c r="V17" s="29">
        <f>T17*Supuestos!$B$48</f>
        <v/>
      </c>
      <c r="W17" s="29">
        <f>IF(T17&gt;0.01,Supuestos!$B$58,0)</f>
        <v/>
      </c>
      <c r="X17" s="29">
        <f>MIN(Supuestos!$B$57,T17+V17)</f>
        <v/>
      </c>
      <c r="Y17" s="29">
        <f>$B$5*MIN(MAX(G17-AA17-L17-R17,0),T17+V17-X17)</f>
        <v/>
      </c>
      <c r="Z17" s="29">
        <f>T17+U17+V17-X17-Y17</f>
        <v/>
      </c>
      <c r="AA17" s="29">
        <f>J17+K17+P17+Q17+W17+X17</f>
        <v/>
      </c>
      <c r="AB17" s="29">
        <f>G17-AA17-L17-R17-Y17+U17-I17</f>
        <v/>
      </c>
      <c r="AC17" s="29">
        <f>AC16+AB17</f>
        <v/>
      </c>
      <c r="AD17" s="29">
        <f>M17+S17+Z17</f>
        <v/>
      </c>
      <c r="AE17" s="29">
        <f>J17+K17+O17+P17+V17+W17</f>
        <v/>
      </c>
      <c r="AF17" s="29">
        <f>AF16+AE17</f>
        <v/>
      </c>
      <c r="AG17" s="30">
        <f>IF(AD17&lt;0.01,1,0)</f>
        <v/>
      </c>
    </row>
    <row r="18">
      <c r="A18" s="27">
        <f>DATE(YEAR(A17),MONTH(A17)+1,1)</f>
        <v/>
      </c>
      <c r="B18" s="28">
        <f>IF(A18=Supuestos!$B$5,Supuestos!$B$7,Supuestos!$B$6)</f>
        <v/>
      </c>
      <c r="C18" s="29">
        <f>IF(A18=Supuestos!$B$16,Supuestos!$B$15,0)</f>
        <v/>
      </c>
      <c r="D18" s="28">
        <f>IF(A18=Supuestos!$B$5,Supuestos!$B$8,Supuestos!$B$43)</f>
        <v/>
      </c>
      <c r="E18" s="29">
        <f>IF(AND(A18&gt;Supuestos!$B$5,A18&lt;=Supuestos!$B$12),Supuestos!$B$11,0)</f>
        <v/>
      </c>
      <c r="F18" s="29">
        <f>IF(A18&gt;=Supuestos!$B$14,Supuestos!$B$13,0)</f>
        <v/>
      </c>
      <c r="G18" s="29">
        <f>B18+C18-D18-E18-F18</f>
        <v/>
      </c>
      <c r="H18" s="29">
        <f>M17</f>
        <v/>
      </c>
      <c r="I18" s="29">
        <f>MIN(U18,H18)</f>
        <v/>
      </c>
      <c r="J18" s="29">
        <f>(H18-I18)*Supuestos!$B$46</f>
        <v/>
      </c>
      <c r="K18" s="29">
        <f>IF(H18-I18&gt;0.01,MIN(Supuestos!$B$21,(H18-I18)*Supuestos!$B$20),0)</f>
        <v/>
      </c>
      <c r="L18" s="29">
        <f>MIN(MAX(G18-AA18,0),H18-I18)</f>
        <v/>
      </c>
      <c r="M18" s="29">
        <f>H18-I18-L18</f>
        <v/>
      </c>
      <c r="N18" s="29">
        <f>S17</f>
        <v/>
      </c>
      <c r="O18" s="29">
        <f>IF(A18=Supuestos!$B$5,0,N18*Supuestos!$B$47)</f>
        <v/>
      </c>
      <c r="P18" s="29">
        <f>IF(AND(A18&gt;Supuestos!$B$5,N18&gt;0.01),Supuestos!$B$26,0)</f>
        <v/>
      </c>
      <c r="Q18" s="29">
        <f>IF(A18=Supuestos!$B$5,0,MIN(Supuestos!$B$25,N18+O18))</f>
        <v/>
      </c>
      <c r="R18" s="29">
        <f>$B$4*MIN(MAX(G18-AA18-L18,0),N18+O18-Q18)</f>
        <v/>
      </c>
      <c r="S18" s="29">
        <f>N18+O18-Q18-R18</f>
        <v/>
      </c>
      <c r="T18" s="29">
        <f>Z17</f>
        <v/>
      </c>
      <c r="U18" s="29">
        <f>IF(A18=Supuestos!$B$5,$B$3*Supuestos!$B$28,0)</f>
        <v/>
      </c>
      <c r="V18" s="29">
        <f>T18*Supuestos!$B$48</f>
        <v/>
      </c>
      <c r="W18" s="29">
        <f>IF(T18&gt;0.01,Supuestos!$B$58,0)</f>
        <v/>
      </c>
      <c r="X18" s="29">
        <f>MIN(Supuestos!$B$57,T18+V18)</f>
        <v/>
      </c>
      <c r="Y18" s="29">
        <f>$B$5*MIN(MAX(G18-AA18-L18-R18,0),T18+V18-X18)</f>
        <v/>
      </c>
      <c r="Z18" s="29">
        <f>T18+U18+V18-X18-Y18</f>
        <v/>
      </c>
      <c r="AA18" s="29">
        <f>J18+K18+P18+Q18+W18+X18</f>
        <v/>
      </c>
      <c r="AB18" s="29">
        <f>G18-AA18-L18-R18-Y18+U18-I18</f>
        <v/>
      </c>
      <c r="AC18" s="29">
        <f>AC17+AB18</f>
        <v/>
      </c>
      <c r="AD18" s="29">
        <f>M18+S18+Z18</f>
        <v/>
      </c>
      <c r="AE18" s="29">
        <f>J18+K18+O18+P18+V18+W18</f>
        <v/>
      </c>
      <c r="AF18" s="29">
        <f>AF17+AE18</f>
        <v/>
      </c>
      <c r="AG18" s="30">
        <f>IF(AD18&lt;0.01,1,0)</f>
        <v/>
      </c>
    </row>
    <row r="19">
      <c r="A19" s="27">
        <f>DATE(YEAR(A18),MONTH(A18)+1,1)</f>
        <v/>
      </c>
      <c r="B19" s="28">
        <f>IF(A19=Supuestos!$B$5,Supuestos!$B$7,Supuestos!$B$6)</f>
        <v/>
      </c>
      <c r="C19" s="29">
        <f>IF(A19=Supuestos!$B$16,Supuestos!$B$15,0)</f>
        <v/>
      </c>
      <c r="D19" s="28">
        <f>IF(A19=Supuestos!$B$5,Supuestos!$B$8,Supuestos!$B$43)</f>
        <v/>
      </c>
      <c r="E19" s="29">
        <f>IF(AND(A19&gt;Supuestos!$B$5,A19&lt;=Supuestos!$B$12),Supuestos!$B$11,0)</f>
        <v/>
      </c>
      <c r="F19" s="29">
        <f>IF(A19&gt;=Supuestos!$B$14,Supuestos!$B$13,0)</f>
        <v/>
      </c>
      <c r="G19" s="29">
        <f>B19+C19-D19-E19-F19</f>
        <v/>
      </c>
      <c r="H19" s="29">
        <f>M18</f>
        <v/>
      </c>
      <c r="I19" s="29">
        <f>MIN(U19,H19)</f>
        <v/>
      </c>
      <c r="J19" s="29">
        <f>(H19-I19)*Supuestos!$B$46</f>
        <v/>
      </c>
      <c r="K19" s="29">
        <f>IF(H19-I19&gt;0.01,MIN(Supuestos!$B$21,(H19-I19)*Supuestos!$B$20),0)</f>
        <v/>
      </c>
      <c r="L19" s="29">
        <f>MIN(MAX(G19-AA19,0),H19-I19)</f>
        <v/>
      </c>
      <c r="M19" s="29">
        <f>H19-I19-L19</f>
        <v/>
      </c>
      <c r="N19" s="29">
        <f>S18</f>
        <v/>
      </c>
      <c r="O19" s="29">
        <f>IF(A19=Supuestos!$B$5,0,N19*Supuestos!$B$47)</f>
        <v/>
      </c>
      <c r="P19" s="29">
        <f>IF(AND(A19&gt;Supuestos!$B$5,N19&gt;0.01),Supuestos!$B$26,0)</f>
        <v/>
      </c>
      <c r="Q19" s="29">
        <f>IF(A19=Supuestos!$B$5,0,MIN(Supuestos!$B$25,N19+O19))</f>
        <v/>
      </c>
      <c r="R19" s="29">
        <f>$B$4*MIN(MAX(G19-AA19-L19,0),N19+O19-Q19)</f>
        <v/>
      </c>
      <c r="S19" s="29">
        <f>N19+O19-Q19-R19</f>
        <v/>
      </c>
      <c r="T19" s="29">
        <f>Z18</f>
        <v/>
      </c>
      <c r="U19" s="29">
        <f>IF(A19=Supuestos!$B$5,$B$3*Supuestos!$B$28,0)</f>
        <v/>
      </c>
      <c r="V19" s="29">
        <f>T19*Supuestos!$B$48</f>
        <v/>
      </c>
      <c r="W19" s="29">
        <f>IF(T19&gt;0.01,Supuestos!$B$58,0)</f>
        <v/>
      </c>
      <c r="X19" s="29">
        <f>MIN(Supuestos!$B$57,T19+V19)</f>
        <v/>
      </c>
      <c r="Y19" s="29">
        <f>$B$5*MIN(MAX(G19-AA19-L19-R19,0),T19+V19-X19)</f>
        <v/>
      </c>
      <c r="Z19" s="29">
        <f>T19+U19+V19-X19-Y19</f>
        <v/>
      </c>
      <c r="AA19" s="29">
        <f>J19+K19+P19+Q19+W19+X19</f>
        <v/>
      </c>
      <c r="AB19" s="29">
        <f>G19-AA19-L19-R19-Y19+U19-I19</f>
        <v/>
      </c>
      <c r="AC19" s="29">
        <f>AC18+AB19</f>
        <v/>
      </c>
      <c r="AD19" s="29">
        <f>M19+S19+Z19</f>
        <v/>
      </c>
      <c r="AE19" s="29">
        <f>J19+K19+O19+P19+V19+W19</f>
        <v/>
      </c>
      <c r="AF19" s="29">
        <f>AF18+AE19</f>
        <v/>
      </c>
      <c r="AG19" s="30">
        <f>IF(AD19&lt;0.01,1,0)</f>
        <v/>
      </c>
    </row>
    <row r="20">
      <c r="A20" s="27">
        <f>DATE(YEAR(A19),MONTH(A19)+1,1)</f>
        <v/>
      </c>
      <c r="B20" s="28">
        <f>IF(A20=Supuestos!$B$5,Supuestos!$B$7,Supuestos!$B$6)</f>
        <v/>
      </c>
      <c r="C20" s="29">
        <f>IF(A20=Supuestos!$B$16,Supuestos!$B$15,0)</f>
        <v/>
      </c>
      <c r="D20" s="28">
        <f>IF(A20=Supuestos!$B$5,Supuestos!$B$8,Supuestos!$B$43)</f>
        <v/>
      </c>
      <c r="E20" s="29">
        <f>IF(AND(A20&gt;Supuestos!$B$5,A20&lt;=Supuestos!$B$12),Supuestos!$B$11,0)</f>
        <v/>
      </c>
      <c r="F20" s="29">
        <f>IF(A20&gt;=Supuestos!$B$14,Supuestos!$B$13,0)</f>
        <v/>
      </c>
      <c r="G20" s="29">
        <f>B20+C20-D20-E20-F20</f>
        <v/>
      </c>
      <c r="H20" s="29">
        <f>M19</f>
        <v/>
      </c>
      <c r="I20" s="29">
        <f>MIN(U20,H20)</f>
        <v/>
      </c>
      <c r="J20" s="29">
        <f>(H20-I20)*Supuestos!$B$46</f>
        <v/>
      </c>
      <c r="K20" s="29">
        <f>IF(H20-I20&gt;0.01,MIN(Supuestos!$B$21,(H20-I20)*Supuestos!$B$20),0)</f>
        <v/>
      </c>
      <c r="L20" s="29">
        <f>MIN(MAX(G20-AA20,0),H20-I20)</f>
        <v/>
      </c>
      <c r="M20" s="29">
        <f>H20-I20-L20</f>
        <v/>
      </c>
      <c r="N20" s="29">
        <f>S19</f>
        <v/>
      </c>
      <c r="O20" s="29">
        <f>IF(A20=Supuestos!$B$5,0,N20*Supuestos!$B$47)</f>
        <v/>
      </c>
      <c r="P20" s="29">
        <f>IF(AND(A20&gt;Supuestos!$B$5,N20&gt;0.01),Supuestos!$B$26,0)</f>
        <v/>
      </c>
      <c r="Q20" s="29">
        <f>IF(A20=Supuestos!$B$5,0,MIN(Supuestos!$B$25,N20+O20))</f>
        <v/>
      </c>
      <c r="R20" s="29">
        <f>$B$4*MIN(MAX(G20-AA20-L20,0),N20+O20-Q20)</f>
        <v/>
      </c>
      <c r="S20" s="29">
        <f>N20+O20-Q20-R20</f>
        <v/>
      </c>
      <c r="T20" s="29">
        <f>Z19</f>
        <v/>
      </c>
      <c r="U20" s="29">
        <f>IF(A20=Supuestos!$B$5,$B$3*Supuestos!$B$28,0)</f>
        <v/>
      </c>
      <c r="V20" s="29">
        <f>T20*Supuestos!$B$48</f>
        <v/>
      </c>
      <c r="W20" s="29">
        <f>IF(T20&gt;0.01,Supuestos!$B$58,0)</f>
        <v/>
      </c>
      <c r="X20" s="29">
        <f>MIN(Supuestos!$B$57,T20+V20)</f>
        <v/>
      </c>
      <c r="Y20" s="29">
        <f>$B$5*MIN(MAX(G20-AA20-L20-R20,0),T20+V20-X20)</f>
        <v/>
      </c>
      <c r="Z20" s="29">
        <f>T20+U20+V20-X20-Y20</f>
        <v/>
      </c>
      <c r="AA20" s="29">
        <f>J20+K20+P20+Q20+W20+X20</f>
        <v/>
      </c>
      <c r="AB20" s="29">
        <f>G20-AA20-L20-R20-Y20+U20-I20</f>
        <v/>
      </c>
      <c r="AC20" s="29">
        <f>AC19+AB20</f>
        <v/>
      </c>
      <c r="AD20" s="29">
        <f>M20+S20+Z20</f>
        <v/>
      </c>
      <c r="AE20" s="29">
        <f>J20+K20+O20+P20+V20+W20</f>
        <v/>
      </c>
      <c r="AF20" s="29">
        <f>AF19+AE20</f>
        <v/>
      </c>
      <c r="AG20" s="30">
        <f>IF(AD20&lt;0.01,1,0)</f>
        <v/>
      </c>
    </row>
    <row r="21">
      <c r="A21" s="27">
        <f>DATE(YEAR(A20),MONTH(A20)+1,1)</f>
        <v/>
      </c>
      <c r="B21" s="28">
        <f>IF(A21=Supuestos!$B$5,Supuestos!$B$7,Supuestos!$B$6)</f>
        <v/>
      </c>
      <c r="C21" s="29">
        <f>IF(A21=Supuestos!$B$16,Supuestos!$B$15,0)</f>
        <v/>
      </c>
      <c r="D21" s="28">
        <f>IF(A21=Supuestos!$B$5,Supuestos!$B$8,Supuestos!$B$43)</f>
        <v/>
      </c>
      <c r="E21" s="29">
        <f>IF(AND(A21&gt;Supuestos!$B$5,A21&lt;=Supuestos!$B$12),Supuestos!$B$11,0)</f>
        <v/>
      </c>
      <c r="F21" s="29">
        <f>IF(A21&gt;=Supuestos!$B$14,Supuestos!$B$13,0)</f>
        <v/>
      </c>
      <c r="G21" s="29">
        <f>B21+C21-D21-E21-F21</f>
        <v/>
      </c>
      <c r="H21" s="29">
        <f>M20</f>
        <v/>
      </c>
      <c r="I21" s="29">
        <f>MIN(U21,H21)</f>
        <v/>
      </c>
      <c r="J21" s="29">
        <f>(H21-I21)*Supuestos!$B$46</f>
        <v/>
      </c>
      <c r="K21" s="29">
        <f>IF(H21-I21&gt;0.01,MIN(Supuestos!$B$21,(H21-I21)*Supuestos!$B$20),0)</f>
        <v/>
      </c>
      <c r="L21" s="29">
        <f>MIN(MAX(G21-AA21,0),H21-I21)</f>
        <v/>
      </c>
      <c r="M21" s="29">
        <f>H21-I21-L21</f>
        <v/>
      </c>
      <c r="N21" s="29">
        <f>S20</f>
        <v/>
      </c>
      <c r="O21" s="29">
        <f>IF(A21=Supuestos!$B$5,0,N21*Supuestos!$B$47)</f>
        <v/>
      </c>
      <c r="P21" s="29">
        <f>IF(AND(A21&gt;Supuestos!$B$5,N21&gt;0.01),Supuestos!$B$26,0)</f>
        <v/>
      </c>
      <c r="Q21" s="29">
        <f>IF(A21=Supuestos!$B$5,0,MIN(Supuestos!$B$25,N21+O21))</f>
        <v/>
      </c>
      <c r="R21" s="29">
        <f>$B$4*MIN(MAX(G21-AA21-L21,0),N21+O21-Q21)</f>
        <v/>
      </c>
      <c r="S21" s="29">
        <f>N21+O21-Q21-R21</f>
        <v/>
      </c>
      <c r="T21" s="29">
        <f>Z20</f>
        <v/>
      </c>
      <c r="U21" s="29">
        <f>IF(A21=Supuestos!$B$5,$B$3*Supuestos!$B$28,0)</f>
        <v/>
      </c>
      <c r="V21" s="29">
        <f>T21*Supuestos!$B$48</f>
        <v/>
      </c>
      <c r="W21" s="29">
        <f>IF(T21&gt;0.01,Supuestos!$B$58,0)</f>
        <v/>
      </c>
      <c r="X21" s="29">
        <f>MIN(Supuestos!$B$57,T21+V21)</f>
        <v/>
      </c>
      <c r="Y21" s="29">
        <f>$B$5*MIN(MAX(G21-AA21-L21-R21,0),T21+V21-X21)</f>
        <v/>
      </c>
      <c r="Z21" s="29">
        <f>T21+U21+V21-X21-Y21</f>
        <v/>
      </c>
      <c r="AA21" s="29">
        <f>J21+K21+P21+Q21+W21+X21</f>
        <v/>
      </c>
      <c r="AB21" s="29">
        <f>G21-AA21-L21-R21-Y21+U21-I21</f>
        <v/>
      </c>
      <c r="AC21" s="29">
        <f>AC20+AB21</f>
        <v/>
      </c>
      <c r="AD21" s="29">
        <f>M21+S21+Z21</f>
        <v/>
      </c>
      <c r="AE21" s="29">
        <f>J21+K21+O21+P21+V21+W21</f>
        <v/>
      </c>
      <c r="AF21" s="29">
        <f>AF20+AE21</f>
        <v/>
      </c>
      <c r="AG21" s="30">
        <f>IF(AD21&lt;0.01,1,0)</f>
        <v/>
      </c>
    </row>
    <row r="22">
      <c r="A22" s="27">
        <f>DATE(YEAR(A21),MONTH(A21)+1,1)</f>
        <v/>
      </c>
      <c r="B22" s="28">
        <f>IF(A22=Supuestos!$B$5,Supuestos!$B$7,Supuestos!$B$6)</f>
        <v/>
      </c>
      <c r="C22" s="29">
        <f>IF(A22=Supuestos!$B$16,Supuestos!$B$15,0)</f>
        <v/>
      </c>
      <c r="D22" s="28">
        <f>IF(A22=Supuestos!$B$5,Supuestos!$B$8,Supuestos!$B$43)</f>
        <v/>
      </c>
      <c r="E22" s="29">
        <f>IF(AND(A22&gt;Supuestos!$B$5,A22&lt;=Supuestos!$B$12),Supuestos!$B$11,0)</f>
        <v/>
      </c>
      <c r="F22" s="29">
        <f>IF(A22&gt;=Supuestos!$B$14,Supuestos!$B$13,0)</f>
        <v/>
      </c>
      <c r="G22" s="29">
        <f>B22+C22-D22-E22-F22</f>
        <v/>
      </c>
      <c r="H22" s="29">
        <f>M21</f>
        <v/>
      </c>
      <c r="I22" s="29">
        <f>MIN(U22,H22)</f>
        <v/>
      </c>
      <c r="J22" s="29">
        <f>(H22-I22)*Supuestos!$B$46</f>
        <v/>
      </c>
      <c r="K22" s="29">
        <f>IF(H22-I22&gt;0.01,MIN(Supuestos!$B$21,(H22-I22)*Supuestos!$B$20),0)</f>
        <v/>
      </c>
      <c r="L22" s="29">
        <f>MIN(MAX(G22-AA22,0),H22-I22)</f>
        <v/>
      </c>
      <c r="M22" s="29">
        <f>H22-I22-L22</f>
        <v/>
      </c>
      <c r="N22" s="29">
        <f>S21</f>
        <v/>
      </c>
      <c r="O22" s="29">
        <f>IF(A22=Supuestos!$B$5,0,N22*Supuestos!$B$47)</f>
        <v/>
      </c>
      <c r="P22" s="29">
        <f>IF(AND(A22&gt;Supuestos!$B$5,N22&gt;0.01),Supuestos!$B$26,0)</f>
        <v/>
      </c>
      <c r="Q22" s="29">
        <f>IF(A22=Supuestos!$B$5,0,MIN(Supuestos!$B$25,N22+O22))</f>
        <v/>
      </c>
      <c r="R22" s="29">
        <f>$B$4*MIN(MAX(G22-AA22-L22,0),N22+O22-Q22)</f>
        <v/>
      </c>
      <c r="S22" s="29">
        <f>N22+O22-Q22-R22</f>
        <v/>
      </c>
      <c r="T22" s="29">
        <f>Z21</f>
        <v/>
      </c>
      <c r="U22" s="29">
        <f>IF(A22=Supuestos!$B$5,$B$3*Supuestos!$B$28,0)</f>
        <v/>
      </c>
      <c r="V22" s="29">
        <f>T22*Supuestos!$B$48</f>
        <v/>
      </c>
      <c r="W22" s="29">
        <f>IF(T22&gt;0.01,Supuestos!$B$58,0)</f>
        <v/>
      </c>
      <c r="X22" s="29">
        <f>MIN(Supuestos!$B$57,T22+V22)</f>
        <v/>
      </c>
      <c r="Y22" s="29">
        <f>$B$5*MIN(MAX(G22-AA22-L22-R22,0),T22+V22-X22)</f>
        <v/>
      </c>
      <c r="Z22" s="29">
        <f>T22+U22+V22-X22-Y22</f>
        <v/>
      </c>
      <c r="AA22" s="29">
        <f>J22+K22+P22+Q22+W22+X22</f>
        <v/>
      </c>
      <c r="AB22" s="29">
        <f>G22-AA22-L22-R22-Y22+U22-I22</f>
        <v/>
      </c>
      <c r="AC22" s="29">
        <f>AC21+AB22</f>
        <v/>
      </c>
      <c r="AD22" s="29">
        <f>M22+S22+Z22</f>
        <v/>
      </c>
      <c r="AE22" s="29">
        <f>J22+K22+O22+P22+V22+W22</f>
        <v/>
      </c>
      <c r="AF22" s="29">
        <f>AF21+AE22</f>
        <v/>
      </c>
      <c r="AG22" s="30">
        <f>IF(AD22&lt;0.01,1,0)</f>
        <v/>
      </c>
    </row>
    <row r="23">
      <c r="A23" s="27">
        <f>DATE(YEAR(A22),MONTH(A22)+1,1)</f>
        <v/>
      </c>
      <c r="B23" s="28">
        <f>IF(A23=Supuestos!$B$5,Supuestos!$B$7,Supuestos!$B$6)</f>
        <v/>
      </c>
      <c r="C23" s="29">
        <f>IF(A23=Supuestos!$B$16,Supuestos!$B$15,0)</f>
        <v/>
      </c>
      <c r="D23" s="28">
        <f>IF(A23=Supuestos!$B$5,Supuestos!$B$8,Supuestos!$B$43)</f>
        <v/>
      </c>
      <c r="E23" s="29">
        <f>IF(AND(A23&gt;Supuestos!$B$5,A23&lt;=Supuestos!$B$12),Supuestos!$B$11,0)</f>
        <v/>
      </c>
      <c r="F23" s="29">
        <f>IF(A23&gt;=Supuestos!$B$14,Supuestos!$B$13,0)</f>
        <v/>
      </c>
      <c r="G23" s="29">
        <f>B23+C23-D23-E23-F23</f>
        <v/>
      </c>
      <c r="H23" s="29">
        <f>M22</f>
        <v/>
      </c>
      <c r="I23" s="29">
        <f>MIN(U23,H23)</f>
        <v/>
      </c>
      <c r="J23" s="29">
        <f>(H23-I23)*Supuestos!$B$46</f>
        <v/>
      </c>
      <c r="K23" s="29">
        <f>IF(H23-I23&gt;0.01,MIN(Supuestos!$B$21,(H23-I23)*Supuestos!$B$20),0)</f>
        <v/>
      </c>
      <c r="L23" s="29">
        <f>MIN(MAX(G23-AA23,0),H23-I23)</f>
        <v/>
      </c>
      <c r="M23" s="29">
        <f>H23-I23-L23</f>
        <v/>
      </c>
      <c r="N23" s="29">
        <f>S22</f>
        <v/>
      </c>
      <c r="O23" s="29">
        <f>IF(A23=Supuestos!$B$5,0,N23*Supuestos!$B$47)</f>
        <v/>
      </c>
      <c r="P23" s="29">
        <f>IF(AND(A23&gt;Supuestos!$B$5,N23&gt;0.01),Supuestos!$B$26,0)</f>
        <v/>
      </c>
      <c r="Q23" s="29">
        <f>IF(A23=Supuestos!$B$5,0,MIN(Supuestos!$B$25,N23+O23))</f>
        <v/>
      </c>
      <c r="R23" s="29">
        <f>$B$4*MIN(MAX(G23-AA23-L23,0),N23+O23-Q23)</f>
        <v/>
      </c>
      <c r="S23" s="29">
        <f>N23+O23-Q23-R23</f>
        <v/>
      </c>
      <c r="T23" s="29">
        <f>Z22</f>
        <v/>
      </c>
      <c r="U23" s="29">
        <f>IF(A23=Supuestos!$B$5,$B$3*Supuestos!$B$28,0)</f>
        <v/>
      </c>
      <c r="V23" s="29">
        <f>T23*Supuestos!$B$48</f>
        <v/>
      </c>
      <c r="W23" s="29">
        <f>IF(T23&gt;0.01,Supuestos!$B$58,0)</f>
        <v/>
      </c>
      <c r="X23" s="29">
        <f>MIN(Supuestos!$B$57,T23+V23)</f>
        <v/>
      </c>
      <c r="Y23" s="29">
        <f>$B$5*MIN(MAX(G23-AA23-L23-R23,0),T23+V23-X23)</f>
        <v/>
      </c>
      <c r="Z23" s="29">
        <f>T23+U23+V23-X23-Y23</f>
        <v/>
      </c>
      <c r="AA23" s="29">
        <f>J23+K23+P23+Q23+W23+X23</f>
        <v/>
      </c>
      <c r="AB23" s="29">
        <f>G23-AA23-L23-R23-Y23+U23-I23</f>
        <v/>
      </c>
      <c r="AC23" s="29">
        <f>AC22+AB23</f>
        <v/>
      </c>
      <c r="AD23" s="29">
        <f>M23+S23+Z23</f>
        <v/>
      </c>
      <c r="AE23" s="29">
        <f>J23+K23+O23+P23+V23+W23</f>
        <v/>
      </c>
      <c r="AF23" s="29">
        <f>AF22+AE23</f>
        <v/>
      </c>
      <c r="AG23" s="30">
        <f>IF(AD23&lt;0.01,1,0)</f>
        <v/>
      </c>
    </row>
    <row r="24">
      <c r="A24" s="27">
        <f>DATE(YEAR(A23),MONTH(A23)+1,1)</f>
        <v/>
      </c>
      <c r="B24" s="28">
        <f>IF(A24=Supuestos!$B$5,Supuestos!$B$7,Supuestos!$B$6)</f>
        <v/>
      </c>
      <c r="C24" s="29">
        <f>IF(A24=Supuestos!$B$16,Supuestos!$B$15,0)</f>
        <v/>
      </c>
      <c r="D24" s="28">
        <f>IF(A24=Supuestos!$B$5,Supuestos!$B$8,Supuestos!$B$43)</f>
        <v/>
      </c>
      <c r="E24" s="29">
        <f>IF(AND(A24&gt;Supuestos!$B$5,A24&lt;=Supuestos!$B$12),Supuestos!$B$11,0)</f>
        <v/>
      </c>
      <c r="F24" s="29">
        <f>IF(A24&gt;=Supuestos!$B$14,Supuestos!$B$13,0)</f>
        <v/>
      </c>
      <c r="G24" s="29">
        <f>B24+C24-D24-E24-F24</f>
        <v/>
      </c>
      <c r="H24" s="29">
        <f>M23</f>
        <v/>
      </c>
      <c r="I24" s="29">
        <f>MIN(U24,H24)</f>
        <v/>
      </c>
      <c r="J24" s="29">
        <f>(H24-I24)*Supuestos!$B$46</f>
        <v/>
      </c>
      <c r="K24" s="29">
        <f>IF(H24-I24&gt;0.01,MIN(Supuestos!$B$21,(H24-I24)*Supuestos!$B$20),0)</f>
        <v/>
      </c>
      <c r="L24" s="29">
        <f>MIN(MAX(G24-AA24,0),H24-I24)</f>
        <v/>
      </c>
      <c r="M24" s="29">
        <f>H24-I24-L24</f>
        <v/>
      </c>
      <c r="N24" s="29">
        <f>S23</f>
        <v/>
      </c>
      <c r="O24" s="29">
        <f>IF(A24=Supuestos!$B$5,0,N24*Supuestos!$B$47)</f>
        <v/>
      </c>
      <c r="P24" s="29">
        <f>IF(AND(A24&gt;Supuestos!$B$5,N24&gt;0.01),Supuestos!$B$26,0)</f>
        <v/>
      </c>
      <c r="Q24" s="29">
        <f>IF(A24=Supuestos!$B$5,0,MIN(Supuestos!$B$25,N24+O24))</f>
        <v/>
      </c>
      <c r="R24" s="29">
        <f>$B$4*MIN(MAX(G24-AA24-L24,0),N24+O24-Q24)</f>
        <v/>
      </c>
      <c r="S24" s="29">
        <f>N24+O24-Q24-R24</f>
        <v/>
      </c>
      <c r="T24" s="29">
        <f>Z23</f>
        <v/>
      </c>
      <c r="U24" s="29">
        <f>IF(A24=Supuestos!$B$5,$B$3*Supuestos!$B$28,0)</f>
        <v/>
      </c>
      <c r="V24" s="29">
        <f>T24*Supuestos!$B$48</f>
        <v/>
      </c>
      <c r="W24" s="29">
        <f>IF(T24&gt;0.01,Supuestos!$B$58,0)</f>
        <v/>
      </c>
      <c r="X24" s="29">
        <f>MIN(Supuestos!$B$57,T24+V24)</f>
        <v/>
      </c>
      <c r="Y24" s="29">
        <f>$B$5*MIN(MAX(G24-AA24-L24-R24,0),T24+V24-X24)</f>
        <v/>
      </c>
      <c r="Z24" s="29">
        <f>T24+U24+V24-X24-Y24</f>
        <v/>
      </c>
      <c r="AA24" s="29">
        <f>J24+K24+P24+Q24+W24+X24</f>
        <v/>
      </c>
      <c r="AB24" s="29">
        <f>G24-AA24-L24-R24-Y24+U24-I24</f>
        <v/>
      </c>
      <c r="AC24" s="29">
        <f>AC23+AB24</f>
        <v/>
      </c>
      <c r="AD24" s="29">
        <f>M24+S24+Z24</f>
        <v/>
      </c>
      <c r="AE24" s="29">
        <f>J24+K24+O24+P24+V24+W24</f>
        <v/>
      </c>
      <c r="AF24" s="29">
        <f>AF23+AE24</f>
        <v/>
      </c>
      <c r="AG24" s="30">
        <f>IF(AD24&lt;0.01,1,0)</f>
        <v/>
      </c>
    </row>
    <row r="25">
      <c r="A25" s="27">
        <f>DATE(YEAR(A24),MONTH(A24)+1,1)</f>
        <v/>
      </c>
      <c r="B25" s="28">
        <f>IF(A25=Supuestos!$B$5,Supuestos!$B$7,Supuestos!$B$6)</f>
        <v/>
      </c>
      <c r="C25" s="29">
        <f>IF(A25=Supuestos!$B$16,Supuestos!$B$15,0)</f>
        <v/>
      </c>
      <c r="D25" s="28">
        <f>IF(A25=Supuestos!$B$5,Supuestos!$B$8,Supuestos!$B$43)</f>
        <v/>
      </c>
      <c r="E25" s="29">
        <f>IF(AND(A25&gt;Supuestos!$B$5,A25&lt;=Supuestos!$B$12),Supuestos!$B$11,0)</f>
        <v/>
      </c>
      <c r="F25" s="29">
        <f>IF(A25&gt;=Supuestos!$B$14,Supuestos!$B$13,0)</f>
        <v/>
      </c>
      <c r="G25" s="29">
        <f>B25+C25-D25-E25-F25</f>
        <v/>
      </c>
      <c r="H25" s="29">
        <f>M24</f>
        <v/>
      </c>
      <c r="I25" s="29">
        <f>MIN(U25,H25)</f>
        <v/>
      </c>
      <c r="J25" s="29">
        <f>(H25-I25)*Supuestos!$B$46</f>
        <v/>
      </c>
      <c r="K25" s="29">
        <f>IF(H25-I25&gt;0.01,MIN(Supuestos!$B$21,(H25-I25)*Supuestos!$B$20),0)</f>
        <v/>
      </c>
      <c r="L25" s="29">
        <f>MIN(MAX(G25-AA25,0),H25-I25)</f>
        <v/>
      </c>
      <c r="M25" s="29">
        <f>H25-I25-L25</f>
        <v/>
      </c>
      <c r="N25" s="29">
        <f>S24</f>
        <v/>
      </c>
      <c r="O25" s="29">
        <f>IF(A25=Supuestos!$B$5,0,N25*Supuestos!$B$47)</f>
        <v/>
      </c>
      <c r="P25" s="29">
        <f>IF(AND(A25&gt;Supuestos!$B$5,N25&gt;0.01),Supuestos!$B$26,0)</f>
        <v/>
      </c>
      <c r="Q25" s="29">
        <f>IF(A25=Supuestos!$B$5,0,MIN(Supuestos!$B$25,N25+O25))</f>
        <v/>
      </c>
      <c r="R25" s="29">
        <f>$B$4*MIN(MAX(G25-AA25-L25,0),N25+O25-Q25)</f>
        <v/>
      </c>
      <c r="S25" s="29">
        <f>N25+O25-Q25-R25</f>
        <v/>
      </c>
      <c r="T25" s="29">
        <f>Z24</f>
        <v/>
      </c>
      <c r="U25" s="29">
        <f>IF(A25=Supuestos!$B$5,$B$3*Supuestos!$B$28,0)</f>
        <v/>
      </c>
      <c r="V25" s="29">
        <f>T25*Supuestos!$B$48</f>
        <v/>
      </c>
      <c r="W25" s="29">
        <f>IF(T25&gt;0.01,Supuestos!$B$58,0)</f>
        <v/>
      </c>
      <c r="X25" s="29">
        <f>MIN(Supuestos!$B$57,T25+V25)</f>
        <v/>
      </c>
      <c r="Y25" s="29">
        <f>$B$5*MIN(MAX(G25-AA25-L25-R25,0),T25+V25-X25)</f>
        <v/>
      </c>
      <c r="Z25" s="29">
        <f>T25+U25+V25-X25-Y25</f>
        <v/>
      </c>
      <c r="AA25" s="29">
        <f>J25+K25+P25+Q25+W25+X25</f>
        <v/>
      </c>
      <c r="AB25" s="29">
        <f>G25-AA25-L25-R25-Y25+U25-I25</f>
        <v/>
      </c>
      <c r="AC25" s="29">
        <f>AC24+AB25</f>
        <v/>
      </c>
      <c r="AD25" s="29">
        <f>M25+S25+Z25</f>
        <v/>
      </c>
      <c r="AE25" s="29">
        <f>J25+K25+O25+P25+V25+W25</f>
        <v/>
      </c>
      <c r="AF25" s="29">
        <f>AF24+AE25</f>
        <v/>
      </c>
      <c r="AG25" s="30">
        <f>IF(AD25&lt;0.01,1,0)</f>
        <v/>
      </c>
    </row>
    <row r="26">
      <c r="A26" s="27">
        <f>DATE(YEAR(A25),MONTH(A25)+1,1)</f>
        <v/>
      </c>
      <c r="B26" s="28">
        <f>IF(A26=Supuestos!$B$5,Supuestos!$B$7,Supuestos!$B$6)</f>
        <v/>
      </c>
      <c r="C26" s="29">
        <f>IF(A26=Supuestos!$B$16,Supuestos!$B$15,0)</f>
        <v/>
      </c>
      <c r="D26" s="28">
        <f>IF(A26=Supuestos!$B$5,Supuestos!$B$8,Supuestos!$B$43)</f>
        <v/>
      </c>
      <c r="E26" s="29">
        <f>IF(AND(A26&gt;Supuestos!$B$5,A26&lt;=Supuestos!$B$12),Supuestos!$B$11,0)</f>
        <v/>
      </c>
      <c r="F26" s="29">
        <f>IF(A26&gt;=Supuestos!$B$14,Supuestos!$B$13,0)</f>
        <v/>
      </c>
      <c r="G26" s="29">
        <f>B26+C26-D26-E26-F26</f>
        <v/>
      </c>
      <c r="H26" s="29">
        <f>M25</f>
        <v/>
      </c>
      <c r="I26" s="29">
        <f>MIN(U26,H26)</f>
        <v/>
      </c>
      <c r="J26" s="29">
        <f>(H26-I26)*Supuestos!$B$46</f>
        <v/>
      </c>
      <c r="K26" s="29">
        <f>IF(H26-I26&gt;0.01,MIN(Supuestos!$B$21,(H26-I26)*Supuestos!$B$20),0)</f>
        <v/>
      </c>
      <c r="L26" s="29">
        <f>MIN(MAX(G26-AA26,0),H26-I26)</f>
        <v/>
      </c>
      <c r="M26" s="29">
        <f>H26-I26-L26</f>
        <v/>
      </c>
      <c r="N26" s="29">
        <f>S25</f>
        <v/>
      </c>
      <c r="O26" s="29">
        <f>IF(A26=Supuestos!$B$5,0,N26*Supuestos!$B$47)</f>
        <v/>
      </c>
      <c r="P26" s="29">
        <f>IF(AND(A26&gt;Supuestos!$B$5,N26&gt;0.01),Supuestos!$B$26,0)</f>
        <v/>
      </c>
      <c r="Q26" s="29">
        <f>IF(A26=Supuestos!$B$5,0,MIN(Supuestos!$B$25,N26+O26))</f>
        <v/>
      </c>
      <c r="R26" s="29">
        <f>$B$4*MIN(MAX(G26-AA26-L26,0),N26+O26-Q26)</f>
        <v/>
      </c>
      <c r="S26" s="29">
        <f>N26+O26-Q26-R26</f>
        <v/>
      </c>
      <c r="T26" s="29">
        <f>Z25</f>
        <v/>
      </c>
      <c r="U26" s="29">
        <f>IF(A26=Supuestos!$B$5,$B$3*Supuestos!$B$28,0)</f>
        <v/>
      </c>
      <c r="V26" s="29">
        <f>T26*Supuestos!$B$48</f>
        <v/>
      </c>
      <c r="W26" s="29">
        <f>IF(T26&gt;0.01,Supuestos!$B$58,0)</f>
        <v/>
      </c>
      <c r="X26" s="29">
        <f>MIN(Supuestos!$B$57,T26+V26)</f>
        <v/>
      </c>
      <c r="Y26" s="29">
        <f>$B$5*MIN(MAX(G26-AA26-L26-R26,0),T26+V26-X26)</f>
        <v/>
      </c>
      <c r="Z26" s="29">
        <f>T26+U26+V26-X26-Y26</f>
        <v/>
      </c>
      <c r="AA26" s="29">
        <f>J26+K26+P26+Q26+W26+X26</f>
        <v/>
      </c>
      <c r="AB26" s="29">
        <f>G26-AA26-L26-R26-Y26+U26-I26</f>
        <v/>
      </c>
      <c r="AC26" s="29">
        <f>AC25+AB26</f>
        <v/>
      </c>
      <c r="AD26" s="29">
        <f>M26+S26+Z26</f>
        <v/>
      </c>
      <c r="AE26" s="29">
        <f>J26+K26+O26+P26+V26+W26</f>
        <v/>
      </c>
      <c r="AF26" s="29">
        <f>AF25+AE26</f>
        <v/>
      </c>
      <c r="AG26" s="30">
        <f>IF(AD26&lt;0.01,1,0)</f>
        <v/>
      </c>
    </row>
    <row r="27">
      <c r="A27" s="27">
        <f>DATE(YEAR(A26),MONTH(A26)+1,1)</f>
        <v/>
      </c>
      <c r="B27" s="28">
        <f>IF(A27=Supuestos!$B$5,Supuestos!$B$7,Supuestos!$B$6)</f>
        <v/>
      </c>
      <c r="C27" s="29">
        <f>IF(A27=Supuestos!$B$16,Supuestos!$B$15,0)</f>
        <v/>
      </c>
      <c r="D27" s="28">
        <f>IF(A27=Supuestos!$B$5,Supuestos!$B$8,Supuestos!$B$43)</f>
        <v/>
      </c>
      <c r="E27" s="29">
        <f>IF(AND(A27&gt;Supuestos!$B$5,A27&lt;=Supuestos!$B$12),Supuestos!$B$11,0)</f>
        <v/>
      </c>
      <c r="F27" s="29">
        <f>IF(A27&gt;=Supuestos!$B$14,Supuestos!$B$13,0)</f>
        <v/>
      </c>
      <c r="G27" s="29">
        <f>B27+C27-D27-E27-F27</f>
        <v/>
      </c>
      <c r="H27" s="29">
        <f>M26</f>
        <v/>
      </c>
      <c r="I27" s="29">
        <f>MIN(U27,H27)</f>
        <v/>
      </c>
      <c r="J27" s="29">
        <f>(H27-I27)*Supuestos!$B$46</f>
        <v/>
      </c>
      <c r="K27" s="29">
        <f>IF(H27-I27&gt;0.01,MIN(Supuestos!$B$21,(H27-I27)*Supuestos!$B$20),0)</f>
        <v/>
      </c>
      <c r="L27" s="29">
        <f>MIN(MAX(G27-AA27,0),H27-I27)</f>
        <v/>
      </c>
      <c r="M27" s="29">
        <f>H27-I27-L27</f>
        <v/>
      </c>
      <c r="N27" s="29">
        <f>S26</f>
        <v/>
      </c>
      <c r="O27" s="29">
        <f>IF(A27=Supuestos!$B$5,0,N27*Supuestos!$B$47)</f>
        <v/>
      </c>
      <c r="P27" s="29">
        <f>IF(AND(A27&gt;Supuestos!$B$5,N27&gt;0.01),Supuestos!$B$26,0)</f>
        <v/>
      </c>
      <c r="Q27" s="29">
        <f>IF(A27=Supuestos!$B$5,0,MIN(Supuestos!$B$25,N27+O27))</f>
        <v/>
      </c>
      <c r="R27" s="29">
        <f>$B$4*MIN(MAX(G27-AA27-L27,0),N27+O27-Q27)</f>
        <v/>
      </c>
      <c r="S27" s="29">
        <f>N27+O27-Q27-R27</f>
        <v/>
      </c>
      <c r="T27" s="29">
        <f>Z26</f>
        <v/>
      </c>
      <c r="U27" s="29">
        <f>IF(A27=Supuestos!$B$5,$B$3*Supuestos!$B$28,0)</f>
        <v/>
      </c>
      <c r="V27" s="29">
        <f>T27*Supuestos!$B$48</f>
        <v/>
      </c>
      <c r="W27" s="29">
        <f>IF(T27&gt;0.01,Supuestos!$B$58,0)</f>
        <v/>
      </c>
      <c r="X27" s="29">
        <f>MIN(Supuestos!$B$57,T27+V27)</f>
        <v/>
      </c>
      <c r="Y27" s="29">
        <f>$B$5*MIN(MAX(G27-AA27-L27-R27,0),T27+V27-X27)</f>
        <v/>
      </c>
      <c r="Z27" s="29">
        <f>T27+U27+V27-X27-Y27</f>
        <v/>
      </c>
      <c r="AA27" s="29">
        <f>J27+K27+P27+Q27+W27+X27</f>
        <v/>
      </c>
      <c r="AB27" s="29">
        <f>G27-AA27-L27-R27-Y27+U27-I27</f>
        <v/>
      </c>
      <c r="AC27" s="29">
        <f>AC26+AB27</f>
        <v/>
      </c>
      <c r="AD27" s="29">
        <f>M27+S27+Z27</f>
        <v/>
      </c>
      <c r="AE27" s="29">
        <f>J27+K27+O27+P27+V27+W27</f>
        <v/>
      </c>
      <c r="AF27" s="29">
        <f>AF26+AE27</f>
        <v/>
      </c>
      <c r="AG27" s="30">
        <f>IF(AD27&lt;0.01,1,0)</f>
        <v/>
      </c>
    </row>
    <row r="28">
      <c r="A28" s="27">
        <f>DATE(YEAR(A27),MONTH(A27)+1,1)</f>
        <v/>
      </c>
      <c r="B28" s="28">
        <f>IF(A28=Supuestos!$B$5,Supuestos!$B$7,Supuestos!$B$6)</f>
        <v/>
      </c>
      <c r="C28" s="29">
        <f>IF(A28=Supuestos!$B$16,Supuestos!$B$15,0)</f>
        <v/>
      </c>
      <c r="D28" s="28">
        <f>IF(A28=Supuestos!$B$5,Supuestos!$B$8,Supuestos!$B$43)</f>
        <v/>
      </c>
      <c r="E28" s="29">
        <f>IF(AND(A28&gt;Supuestos!$B$5,A28&lt;=Supuestos!$B$12),Supuestos!$B$11,0)</f>
        <v/>
      </c>
      <c r="F28" s="29">
        <f>IF(A28&gt;=Supuestos!$B$14,Supuestos!$B$13,0)</f>
        <v/>
      </c>
      <c r="G28" s="29">
        <f>B28+C28-D28-E28-F28</f>
        <v/>
      </c>
      <c r="H28" s="29">
        <f>M27</f>
        <v/>
      </c>
      <c r="I28" s="29">
        <f>MIN(U28,H28)</f>
        <v/>
      </c>
      <c r="J28" s="29">
        <f>(H28-I28)*Supuestos!$B$46</f>
        <v/>
      </c>
      <c r="K28" s="29">
        <f>IF(H28-I28&gt;0.01,MIN(Supuestos!$B$21,(H28-I28)*Supuestos!$B$20),0)</f>
        <v/>
      </c>
      <c r="L28" s="29">
        <f>MIN(MAX(G28-AA28,0),H28-I28)</f>
        <v/>
      </c>
      <c r="M28" s="29">
        <f>H28-I28-L28</f>
        <v/>
      </c>
      <c r="N28" s="29">
        <f>S27</f>
        <v/>
      </c>
      <c r="O28" s="29">
        <f>IF(A28=Supuestos!$B$5,0,N28*Supuestos!$B$47)</f>
        <v/>
      </c>
      <c r="P28" s="29">
        <f>IF(AND(A28&gt;Supuestos!$B$5,N28&gt;0.01),Supuestos!$B$26,0)</f>
        <v/>
      </c>
      <c r="Q28" s="29">
        <f>IF(A28=Supuestos!$B$5,0,MIN(Supuestos!$B$25,N28+O28))</f>
        <v/>
      </c>
      <c r="R28" s="29">
        <f>$B$4*MIN(MAX(G28-AA28-L28,0),N28+O28-Q28)</f>
        <v/>
      </c>
      <c r="S28" s="29">
        <f>N28+O28-Q28-R28</f>
        <v/>
      </c>
      <c r="T28" s="29">
        <f>Z27</f>
        <v/>
      </c>
      <c r="U28" s="29">
        <f>IF(A28=Supuestos!$B$5,$B$3*Supuestos!$B$28,0)</f>
        <v/>
      </c>
      <c r="V28" s="29">
        <f>T28*Supuestos!$B$48</f>
        <v/>
      </c>
      <c r="W28" s="29">
        <f>IF(T28&gt;0.01,Supuestos!$B$58,0)</f>
        <v/>
      </c>
      <c r="X28" s="29">
        <f>MIN(Supuestos!$B$57,T28+V28)</f>
        <v/>
      </c>
      <c r="Y28" s="29">
        <f>$B$5*MIN(MAX(G28-AA28-L28-R28,0),T28+V28-X28)</f>
        <v/>
      </c>
      <c r="Z28" s="29">
        <f>T28+U28+V28-X28-Y28</f>
        <v/>
      </c>
      <c r="AA28" s="29">
        <f>J28+K28+P28+Q28+W28+X28</f>
        <v/>
      </c>
      <c r="AB28" s="29">
        <f>G28-AA28-L28-R28-Y28+U28-I28</f>
        <v/>
      </c>
      <c r="AC28" s="29">
        <f>AC27+AB28</f>
        <v/>
      </c>
      <c r="AD28" s="29">
        <f>M28+S28+Z28</f>
        <v/>
      </c>
      <c r="AE28" s="29">
        <f>J28+K28+O28+P28+V28+W28</f>
        <v/>
      </c>
      <c r="AF28" s="29">
        <f>AF27+AE28</f>
        <v/>
      </c>
      <c r="AG28" s="30">
        <f>IF(AD28&lt;0.01,1,0)</f>
        <v/>
      </c>
    </row>
    <row r="29">
      <c r="A29" s="27">
        <f>DATE(YEAR(A28),MONTH(A28)+1,1)</f>
        <v/>
      </c>
      <c r="B29" s="28">
        <f>IF(A29=Supuestos!$B$5,Supuestos!$B$7,Supuestos!$B$6)</f>
        <v/>
      </c>
      <c r="C29" s="29">
        <f>IF(A29=Supuestos!$B$16,Supuestos!$B$15,0)</f>
        <v/>
      </c>
      <c r="D29" s="28">
        <f>IF(A29=Supuestos!$B$5,Supuestos!$B$8,Supuestos!$B$43)</f>
        <v/>
      </c>
      <c r="E29" s="29">
        <f>IF(AND(A29&gt;Supuestos!$B$5,A29&lt;=Supuestos!$B$12),Supuestos!$B$11,0)</f>
        <v/>
      </c>
      <c r="F29" s="29">
        <f>IF(A29&gt;=Supuestos!$B$14,Supuestos!$B$13,0)</f>
        <v/>
      </c>
      <c r="G29" s="29">
        <f>B29+C29-D29-E29-F29</f>
        <v/>
      </c>
      <c r="H29" s="29">
        <f>M28</f>
        <v/>
      </c>
      <c r="I29" s="29">
        <f>MIN(U29,H29)</f>
        <v/>
      </c>
      <c r="J29" s="29">
        <f>(H29-I29)*Supuestos!$B$46</f>
        <v/>
      </c>
      <c r="K29" s="29">
        <f>IF(H29-I29&gt;0.01,MIN(Supuestos!$B$21,(H29-I29)*Supuestos!$B$20),0)</f>
        <v/>
      </c>
      <c r="L29" s="29">
        <f>MIN(MAX(G29-AA29,0),H29-I29)</f>
        <v/>
      </c>
      <c r="M29" s="29">
        <f>H29-I29-L29</f>
        <v/>
      </c>
      <c r="N29" s="29">
        <f>S28</f>
        <v/>
      </c>
      <c r="O29" s="29">
        <f>IF(A29=Supuestos!$B$5,0,N29*Supuestos!$B$47)</f>
        <v/>
      </c>
      <c r="P29" s="29">
        <f>IF(AND(A29&gt;Supuestos!$B$5,N29&gt;0.01),Supuestos!$B$26,0)</f>
        <v/>
      </c>
      <c r="Q29" s="29">
        <f>IF(A29=Supuestos!$B$5,0,MIN(Supuestos!$B$25,N29+O29))</f>
        <v/>
      </c>
      <c r="R29" s="29">
        <f>$B$4*MIN(MAX(G29-AA29-L29,0),N29+O29-Q29)</f>
        <v/>
      </c>
      <c r="S29" s="29">
        <f>N29+O29-Q29-R29</f>
        <v/>
      </c>
      <c r="T29" s="29">
        <f>Z28</f>
        <v/>
      </c>
      <c r="U29" s="29">
        <f>IF(A29=Supuestos!$B$5,$B$3*Supuestos!$B$28,0)</f>
        <v/>
      </c>
      <c r="V29" s="29">
        <f>T29*Supuestos!$B$48</f>
        <v/>
      </c>
      <c r="W29" s="29">
        <f>IF(T29&gt;0.01,Supuestos!$B$58,0)</f>
        <v/>
      </c>
      <c r="X29" s="29">
        <f>MIN(Supuestos!$B$57,T29+V29)</f>
        <v/>
      </c>
      <c r="Y29" s="29">
        <f>$B$5*MIN(MAX(G29-AA29-L29-R29,0),T29+V29-X29)</f>
        <v/>
      </c>
      <c r="Z29" s="29">
        <f>T29+U29+V29-X29-Y29</f>
        <v/>
      </c>
      <c r="AA29" s="29">
        <f>J29+K29+P29+Q29+W29+X29</f>
        <v/>
      </c>
      <c r="AB29" s="29">
        <f>G29-AA29-L29-R29-Y29+U29-I29</f>
        <v/>
      </c>
      <c r="AC29" s="29">
        <f>AC28+AB29</f>
        <v/>
      </c>
      <c r="AD29" s="29">
        <f>M29+S29+Z29</f>
        <v/>
      </c>
      <c r="AE29" s="29">
        <f>J29+K29+O29+P29+V29+W29</f>
        <v/>
      </c>
      <c r="AF29" s="29">
        <f>AF28+AE29</f>
        <v/>
      </c>
      <c r="AG29" s="30">
        <f>IF(AD29&lt;0.01,1,0)</f>
        <v/>
      </c>
    </row>
    <row r="30">
      <c r="A30" s="27">
        <f>DATE(YEAR(A29),MONTH(A29)+1,1)</f>
        <v/>
      </c>
      <c r="B30" s="28">
        <f>IF(A30=Supuestos!$B$5,Supuestos!$B$7,Supuestos!$B$6)</f>
        <v/>
      </c>
      <c r="C30" s="29">
        <f>IF(A30=Supuestos!$B$16,Supuestos!$B$15,0)</f>
        <v/>
      </c>
      <c r="D30" s="28">
        <f>IF(A30=Supuestos!$B$5,Supuestos!$B$8,Supuestos!$B$43)</f>
        <v/>
      </c>
      <c r="E30" s="29">
        <f>IF(AND(A30&gt;Supuestos!$B$5,A30&lt;=Supuestos!$B$12),Supuestos!$B$11,0)</f>
        <v/>
      </c>
      <c r="F30" s="29">
        <f>IF(A30&gt;=Supuestos!$B$14,Supuestos!$B$13,0)</f>
        <v/>
      </c>
      <c r="G30" s="29">
        <f>B30+C30-D30-E30-F30</f>
        <v/>
      </c>
      <c r="H30" s="29">
        <f>M29</f>
        <v/>
      </c>
      <c r="I30" s="29">
        <f>MIN(U30,H30)</f>
        <v/>
      </c>
      <c r="J30" s="29">
        <f>(H30-I30)*Supuestos!$B$46</f>
        <v/>
      </c>
      <c r="K30" s="29">
        <f>IF(H30-I30&gt;0.01,MIN(Supuestos!$B$21,(H30-I30)*Supuestos!$B$20),0)</f>
        <v/>
      </c>
      <c r="L30" s="29">
        <f>MIN(MAX(G30-AA30,0),H30-I30)</f>
        <v/>
      </c>
      <c r="M30" s="29">
        <f>H30-I30-L30</f>
        <v/>
      </c>
      <c r="N30" s="29">
        <f>S29</f>
        <v/>
      </c>
      <c r="O30" s="29">
        <f>IF(A30=Supuestos!$B$5,0,N30*Supuestos!$B$47)</f>
        <v/>
      </c>
      <c r="P30" s="29">
        <f>IF(AND(A30&gt;Supuestos!$B$5,N30&gt;0.01),Supuestos!$B$26,0)</f>
        <v/>
      </c>
      <c r="Q30" s="29">
        <f>IF(A30=Supuestos!$B$5,0,MIN(Supuestos!$B$25,N30+O30))</f>
        <v/>
      </c>
      <c r="R30" s="29">
        <f>$B$4*MIN(MAX(G30-AA30-L30,0),N30+O30-Q30)</f>
        <v/>
      </c>
      <c r="S30" s="29">
        <f>N30+O30-Q30-R30</f>
        <v/>
      </c>
      <c r="T30" s="29">
        <f>Z29</f>
        <v/>
      </c>
      <c r="U30" s="29">
        <f>IF(A30=Supuestos!$B$5,$B$3*Supuestos!$B$28,0)</f>
        <v/>
      </c>
      <c r="V30" s="29">
        <f>T30*Supuestos!$B$48</f>
        <v/>
      </c>
      <c r="W30" s="29">
        <f>IF(T30&gt;0.01,Supuestos!$B$58,0)</f>
        <v/>
      </c>
      <c r="X30" s="29">
        <f>MIN(Supuestos!$B$57,T30+V30)</f>
        <v/>
      </c>
      <c r="Y30" s="29">
        <f>$B$5*MIN(MAX(G30-AA30-L30-R30,0),T30+V30-X30)</f>
        <v/>
      </c>
      <c r="Z30" s="29">
        <f>T30+U30+V30-X30-Y30</f>
        <v/>
      </c>
      <c r="AA30" s="29">
        <f>J30+K30+P30+Q30+W30+X30</f>
        <v/>
      </c>
      <c r="AB30" s="29">
        <f>G30-AA30-L30-R30-Y30+U30-I30</f>
        <v/>
      </c>
      <c r="AC30" s="29">
        <f>AC29+AB30</f>
        <v/>
      </c>
      <c r="AD30" s="29">
        <f>M30+S30+Z30</f>
        <v/>
      </c>
      <c r="AE30" s="29">
        <f>J30+K30+O30+P30+V30+W30</f>
        <v/>
      </c>
      <c r="AF30" s="29">
        <f>AF29+AE30</f>
        <v/>
      </c>
      <c r="AG30" s="30">
        <f>IF(AD30&lt;0.01,1,0)</f>
        <v/>
      </c>
    </row>
    <row r="31">
      <c r="A31" s="27">
        <f>DATE(YEAR(A30),MONTH(A30)+1,1)</f>
        <v/>
      </c>
      <c r="B31" s="28">
        <f>IF(A31=Supuestos!$B$5,Supuestos!$B$7,Supuestos!$B$6)</f>
        <v/>
      </c>
      <c r="C31" s="29">
        <f>IF(A31=Supuestos!$B$16,Supuestos!$B$15,0)</f>
        <v/>
      </c>
      <c r="D31" s="28">
        <f>IF(A31=Supuestos!$B$5,Supuestos!$B$8,Supuestos!$B$43)</f>
        <v/>
      </c>
      <c r="E31" s="29">
        <f>IF(AND(A31&gt;Supuestos!$B$5,A31&lt;=Supuestos!$B$12),Supuestos!$B$11,0)</f>
        <v/>
      </c>
      <c r="F31" s="29">
        <f>IF(A31&gt;=Supuestos!$B$14,Supuestos!$B$13,0)</f>
        <v/>
      </c>
      <c r="G31" s="29">
        <f>B31+C31-D31-E31-F31</f>
        <v/>
      </c>
      <c r="H31" s="29">
        <f>M30</f>
        <v/>
      </c>
      <c r="I31" s="29">
        <f>MIN(U31,H31)</f>
        <v/>
      </c>
      <c r="J31" s="29">
        <f>(H31-I31)*Supuestos!$B$46</f>
        <v/>
      </c>
      <c r="K31" s="29">
        <f>IF(H31-I31&gt;0.01,MIN(Supuestos!$B$21,(H31-I31)*Supuestos!$B$20),0)</f>
        <v/>
      </c>
      <c r="L31" s="29">
        <f>MIN(MAX(G31-AA31,0),H31-I31)</f>
        <v/>
      </c>
      <c r="M31" s="29">
        <f>H31-I31-L31</f>
        <v/>
      </c>
      <c r="N31" s="29">
        <f>S30</f>
        <v/>
      </c>
      <c r="O31" s="29">
        <f>IF(A31=Supuestos!$B$5,0,N31*Supuestos!$B$47)</f>
        <v/>
      </c>
      <c r="P31" s="29">
        <f>IF(AND(A31&gt;Supuestos!$B$5,N31&gt;0.01),Supuestos!$B$26,0)</f>
        <v/>
      </c>
      <c r="Q31" s="29">
        <f>IF(A31=Supuestos!$B$5,0,MIN(Supuestos!$B$25,N31+O31))</f>
        <v/>
      </c>
      <c r="R31" s="29">
        <f>$B$4*MIN(MAX(G31-AA31-L31,0),N31+O31-Q31)</f>
        <v/>
      </c>
      <c r="S31" s="29">
        <f>N31+O31-Q31-R31</f>
        <v/>
      </c>
      <c r="T31" s="29">
        <f>Z30</f>
        <v/>
      </c>
      <c r="U31" s="29">
        <f>IF(A31=Supuestos!$B$5,$B$3*Supuestos!$B$28,0)</f>
        <v/>
      </c>
      <c r="V31" s="29">
        <f>T31*Supuestos!$B$48</f>
        <v/>
      </c>
      <c r="W31" s="29">
        <f>IF(T31&gt;0.01,Supuestos!$B$58,0)</f>
        <v/>
      </c>
      <c r="X31" s="29">
        <f>MIN(Supuestos!$B$57,T31+V31)</f>
        <v/>
      </c>
      <c r="Y31" s="29">
        <f>$B$5*MIN(MAX(G31-AA31-L31-R31,0),T31+V31-X31)</f>
        <v/>
      </c>
      <c r="Z31" s="29">
        <f>T31+U31+V31-X31-Y31</f>
        <v/>
      </c>
      <c r="AA31" s="29">
        <f>J31+K31+P31+Q31+W31+X31</f>
        <v/>
      </c>
      <c r="AB31" s="29">
        <f>G31-AA31-L31-R31-Y31+U31-I31</f>
        <v/>
      </c>
      <c r="AC31" s="29">
        <f>AC30+AB31</f>
        <v/>
      </c>
      <c r="AD31" s="29">
        <f>M31+S31+Z31</f>
        <v/>
      </c>
      <c r="AE31" s="29">
        <f>J31+K31+O31+P31+V31+W31</f>
        <v/>
      </c>
      <c r="AF31" s="29">
        <f>AF30+AE31</f>
        <v/>
      </c>
      <c r="AG31" s="30">
        <f>IF(AD31&lt;0.01,1,0)</f>
        <v/>
      </c>
    </row>
    <row r="32">
      <c r="A32" s="27">
        <f>DATE(YEAR(A31),MONTH(A31)+1,1)</f>
        <v/>
      </c>
      <c r="B32" s="28">
        <f>IF(A32=Supuestos!$B$5,Supuestos!$B$7,Supuestos!$B$6)</f>
        <v/>
      </c>
      <c r="C32" s="29">
        <f>IF(A32=Supuestos!$B$16,Supuestos!$B$15,0)</f>
        <v/>
      </c>
      <c r="D32" s="28">
        <f>IF(A32=Supuestos!$B$5,Supuestos!$B$8,Supuestos!$B$43)</f>
        <v/>
      </c>
      <c r="E32" s="29">
        <f>IF(AND(A32&gt;Supuestos!$B$5,A32&lt;=Supuestos!$B$12),Supuestos!$B$11,0)</f>
        <v/>
      </c>
      <c r="F32" s="29">
        <f>IF(A32&gt;=Supuestos!$B$14,Supuestos!$B$13,0)</f>
        <v/>
      </c>
      <c r="G32" s="29">
        <f>B32+C32-D32-E32-F32</f>
        <v/>
      </c>
      <c r="H32" s="29">
        <f>M31</f>
        <v/>
      </c>
      <c r="I32" s="29">
        <f>MIN(U32,H32)</f>
        <v/>
      </c>
      <c r="J32" s="29">
        <f>(H32-I32)*Supuestos!$B$46</f>
        <v/>
      </c>
      <c r="K32" s="29">
        <f>IF(H32-I32&gt;0.01,MIN(Supuestos!$B$21,(H32-I32)*Supuestos!$B$20),0)</f>
        <v/>
      </c>
      <c r="L32" s="29">
        <f>MIN(MAX(G32-AA32,0),H32-I32)</f>
        <v/>
      </c>
      <c r="M32" s="29">
        <f>H32-I32-L32</f>
        <v/>
      </c>
      <c r="N32" s="29">
        <f>S31</f>
        <v/>
      </c>
      <c r="O32" s="29">
        <f>IF(A32=Supuestos!$B$5,0,N32*Supuestos!$B$47)</f>
        <v/>
      </c>
      <c r="P32" s="29">
        <f>IF(AND(A32&gt;Supuestos!$B$5,N32&gt;0.01),Supuestos!$B$26,0)</f>
        <v/>
      </c>
      <c r="Q32" s="29">
        <f>IF(A32=Supuestos!$B$5,0,MIN(Supuestos!$B$25,N32+O32))</f>
        <v/>
      </c>
      <c r="R32" s="29">
        <f>$B$4*MIN(MAX(G32-AA32-L32,0),N32+O32-Q32)</f>
        <v/>
      </c>
      <c r="S32" s="29">
        <f>N32+O32-Q32-R32</f>
        <v/>
      </c>
      <c r="T32" s="29">
        <f>Z31</f>
        <v/>
      </c>
      <c r="U32" s="29">
        <f>IF(A32=Supuestos!$B$5,$B$3*Supuestos!$B$28,0)</f>
        <v/>
      </c>
      <c r="V32" s="29">
        <f>T32*Supuestos!$B$48</f>
        <v/>
      </c>
      <c r="W32" s="29">
        <f>IF(T32&gt;0.01,Supuestos!$B$58,0)</f>
        <v/>
      </c>
      <c r="X32" s="29">
        <f>MIN(Supuestos!$B$57,T32+V32)</f>
        <v/>
      </c>
      <c r="Y32" s="29">
        <f>$B$5*MIN(MAX(G32-AA32-L32-R32,0),T32+V32-X32)</f>
        <v/>
      </c>
      <c r="Z32" s="29">
        <f>T32+U32+V32-X32-Y32</f>
        <v/>
      </c>
      <c r="AA32" s="29">
        <f>J32+K32+P32+Q32+W32+X32</f>
        <v/>
      </c>
      <c r="AB32" s="29">
        <f>G32-AA32-L32-R32-Y32+U32-I32</f>
        <v/>
      </c>
      <c r="AC32" s="29">
        <f>AC31+AB32</f>
        <v/>
      </c>
      <c r="AD32" s="29">
        <f>M32+S32+Z32</f>
        <v/>
      </c>
      <c r="AE32" s="29">
        <f>J32+K32+O32+P32+V32+W32</f>
        <v/>
      </c>
      <c r="AF32" s="29">
        <f>AF31+AE32</f>
        <v/>
      </c>
      <c r="AG32" s="30">
        <f>IF(AD32&lt;0.01,1,0)</f>
        <v/>
      </c>
    </row>
    <row r="33">
      <c r="A33" s="27">
        <f>DATE(YEAR(A32),MONTH(A32)+1,1)</f>
        <v/>
      </c>
      <c r="B33" s="28">
        <f>IF(A33=Supuestos!$B$5,Supuestos!$B$7,Supuestos!$B$6)</f>
        <v/>
      </c>
      <c r="C33" s="29">
        <f>IF(A33=Supuestos!$B$16,Supuestos!$B$15,0)</f>
        <v/>
      </c>
      <c r="D33" s="28">
        <f>IF(A33=Supuestos!$B$5,Supuestos!$B$8,Supuestos!$B$43)</f>
        <v/>
      </c>
      <c r="E33" s="29">
        <f>IF(AND(A33&gt;Supuestos!$B$5,A33&lt;=Supuestos!$B$12),Supuestos!$B$11,0)</f>
        <v/>
      </c>
      <c r="F33" s="29">
        <f>IF(A33&gt;=Supuestos!$B$14,Supuestos!$B$13,0)</f>
        <v/>
      </c>
      <c r="G33" s="29">
        <f>B33+C33-D33-E33-F33</f>
        <v/>
      </c>
      <c r="H33" s="29">
        <f>M32</f>
        <v/>
      </c>
      <c r="I33" s="29">
        <f>MIN(U33,H33)</f>
        <v/>
      </c>
      <c r="J33" s="29">
        <f>(H33-I33)*Supuestos!$B$46</f>
        <v/>
      </c>
      <c r="K33" s="29">
        <f>IF(H33-I33&gt;0.01,MIN(Supuestos!$B$21,(H33-I33)*Supuestos!$B$20),0)</f>
        <v/>
      </c>
      <c r="L33" s="29">
        <f>MIN(MAX(G33-AA33,0),H33-I33)</f>
        <v/>
      </c>
      <c r="M33" s="29">
        <f>H33-I33-L33</f>
        <v/>
      </c>
      <c r="N33" s="29">
        <f>S32</f>
        <v/>
      </c>
      <c r="O33" s="29">
        <f>IF(A33=Supuestos!$B$5,0,N33*Supuestos!$B$47)</f>
        <v/>
      </c>
      <c r="P33" s="29">
        <f>IF(AND(A33&gt;Supuestos!$B$5,N33&gt;0.01),Supuestos!$B$26,0)</f>
        <v/>
      </c>
      <c r="Q33" s="29">
        <f>IF(A33=Supuestos!$B$5,0,MIN(Supuestos!$B$25,N33+O33))</f>
        <v/>
      </c>
      <c r="R33" s="29">
        <f>$B$4*MIN(MAX(G33-AA33-L33,0),N33+O33-Q33)</f>
        <v/>
      </c>
      <c r="S33" s="29">
        <f>N33+O33-Q33-R33</f>
        <v/>
      </c>
      <c r="T33" s="29">
        <f>Z32</f>
        <v/>
      </c>
      <c r="U33" s="29">
        <f>IF(A33=Supuestos!$B$5,$B$3*Supuestos!$B$28,0)</f>
        <v/>
      </c>
      <c r="V33" s="29">
        <f>T33*Supuestos!$B$48</f>
        <v/>
      </c>
      <c r="W33" s="29">
        <f>IF(T33&gt;0.01,Supuestos!$B$58,0)</f>
        <v/>
      </c>
      <c r="X33" s="29">
        <f>MIN(Supuestos!$B$57,T33+V33)</f>
        <v/>
      </c>
      <c r="Y33" s="29">
        <f>$B$5*MIN(MAX(G33-AA33-L33-R33,0),T33+V33-X33)</f>
        <v/>
      </c>
      <c r="Z33" s="29">
        <f>T33+U33+V33-X33-Y33</f>
        <v/>
      </c>
      <c r="AA33" s="29">
        <f>J33+K33+P33+Q33+W33+X33</f>
        <v/>
      </c>
      <c r="AB33" s="29">
        <f>G33-AA33-L33-R33-Y33+U33-I33</f>
        <v/>
      </c>
      <c r="AC33" s="29">
        <f>AC32+AB33</f>
        <v/>
      </c>
      <c r="AD33" s="29">
        <f>M33+S33+Z33</f>
        <v/>
      </c>
      <c r="AE33" s="29">
        <f>J33+K33+O33+P33+V33+W33</f>
        <v/>
      </c>
      <c r="AF33" s="29">
        <f>AF32+AE33</f>
        <v/>
      </c>
      <c r="AG33" s="30">
        <f>IF(AD33&lt;0.01,1,0)</f>
        <v/>
      </c>
    </row>
    <row r="34">
      <c r="A34" s="27">
        <f>DATE(YEAR(A33),MONTH(A33)+1,1)</f>
        <v/>
      </c>
      <c r="B34" s="28">
        <f>IF(A34=Supuestos!$B$5,Supuestos!$B$7,Supuestos!$B$6)</f>
        <v/>
      </c>
      <c r="C34" s="29">
        <f>IF(A34=Supuestos!$B$16,Supuestos!$B$15,0)</f>
        <v/>
      </c>
      <c r="D34" s="28">
        <f>IF(A34=Supuestos!$B$5,Supuestos!$B$8,Supuestos!$B$43)</f>
        <v/>
      </c>
      <c r="E34" s="29">
        <f>IF(AND(A34&gt;Supuestos!$B$5,A34&lt;=Supuestos!$B$12),Supuestos!$B$11,0)</f>
        <v/>
      </c>
      <c r="F34" s="29">
        <f>IF(A34&gt;=Supuestos!$B$14,Supuestos!$B$13,0)</f>
        <v/>
      </c>
      <c r="G34" s="29">
        <f>B34+C34-D34-E34-F34</f>
        <v/>
      </c>
      <c r="H34" s="29">
        <f>M33</f>
        <v/>
      </c>
      <c r="I34" s="29">
        <f>MIN(U34,H34)</f>
        <v/>
      </c>
      <c r="J34" s="29">
        <f>(H34-I34)*Supuestos!$B$46</f>
        <v/>
      </c>
      <c r="K34" s="29">
        <f>IF(H34-I34&gt;0.01,MIN(Supuestos!$B$21,(H34-I34)*Supuestos!$B$20),0)</f>
        <v/>
      </c>
      <c r="L34" s="29">
        <f>MIN(MAX(G34-AA34,0),H34-I34)</f>
        <v/>
      </c>
      <c r="M34" s="29">
        <f>H34-I34-L34</f>
        <v/>
      </c>
      <c r="N34" s="29">
        <f>S33</f>
        <v/>
      </c>
      <c r="O34" s="29">
        <f>IF(A34=Supuestos!$B$5,0,N34*Supuestos!$B$47)</f>
        <v/>
      </c>
      <c r="P34" s="29">
        <f>IF(AND(A34&gt;Supuestos!$B$5,N34&gt;0.01),Supuestos!$B$26,0)</f>
        <v/>
      </c>
      <c r="Q34" s="29">
        <f>IF(A34=Supuestos!$B$5,0,MIN(Supuestos!$B$25,N34+O34))</f>
        <v/>
      </c>
      <c r="R34" s="29">
        <f>$B$4*MIN(MAX(G34-AA34-L34,0),N34+O34-Q34)</f>
        <v/>
      </c>
      <c r="S34" s="29">
        <f>N34+O34-Q34-R34</f>
        <v/>
      </c>
      <c r="T34" s="29">
        <f>Z33</f>
        <v/>
      </c>
      <c r="U34" s="29">
        <f>IF(A34=Supuestos!$B$5,$B$3*Supuestos!$B$28,0)</f>
        <v/>
      </c>
      <c r="V34" s="29">
        <f>T34*Supuestos!$B$48</f>
        <v/>
      </c>
      <c r="W34" s="29">
        <f>IF(T34&gt;0.01,Supuestos!$B$58,0)</f>
        <v/>
      </c>
      <c r="X34" s="29">
        <f>MIN(Supuestos!$B$57,T34+V34)</f>
        <v/>
      </c>
      <c r="Y34" s="29">
        <f>$B$5*MIN(MAX(G34-AA34-L34-R34,0),T34+V34-X34)</f>
        <v/>
      </c>
      <c r="Z34" s="29">
        <f>T34+U34+V34-X34-Y34</f>
        <v/>
      </c>
      <c r="AA34" s="29">
        <f>J34+K34+P34+Q34+W34+X34</f>
        <v/>
      </c>
      <c r="AB34" s="29">
        <f>G34-AA34-L34-R34-Y34+U34-I34</f>
        <v/>
      </c>
      <c r="AC34" s="29">
        <f>AC33+AB34</f>
        <v/>
      </c>
      <c r="AD34" s="29">
        <f>M34+S34+Z34</f>
        <v/>
      </c>
      <c r="AE34" s="29">
        <f>J34+K34+O34+P34+V34+W34</f>
        <v/>
      </c>
      <c r="AF34" s="29">
        <f>AF33+AE34</f>
        <v/>
      </c>
      <c r="AG34" s="30">
        <f>IF(AD34&lt;0.01,1,0)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A2 Préstamo + prepagos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3" t="inlineStr">
        <is>
          <t>Pide el préstamo y usa todo el sobrante para prepagar deuda.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5" t="inlineStr">
        <is>
          <t>Usa préstamo nuevo (1/0)</t>
        </is>
      </c>
      <c r="B3" s="17" t="n">
        <v>1</v>
      </c>
      <c r="C3" s="2" t="n"/>
      <c r="D3" s="25" t="inlineStr">
        <is>
          <t>Ahorro negativo = déficit: el plan no alcanza ese mes.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5" t="inlineStr">
        <is>
          <t>Prepagar EC actual (1/0)</t>
        </is>
      </c>
      <c r="B4" s="17" t="n">
        <v>1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5" t="inlineStr">
        <is>
          <t>Prepagar préstamo nuevo (1/0)</t>
        </is>
      </c>
      <c r="B5" s="17" t="n">
        <v>1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 ht="45" customHeight="1">
      <c r="A7" s="26" t="inlineStr">
        <is>
          <t>Mes</t>
        </is>
      </c>
      <c r="B7" s="26" t="inlineStr">
        <is>
          <t>Ingreso</t>
        </is>
      </c>
      <c r="C7" s="26" t="inlineStr">
        <is>
          <t>Devolución impuestos</t>
        </is>
      </c>
      <c r="D7" s="26" t="inlineStr">
        <is>
          <t>Gastos de vida</t>
        </is>
      </c>
      <c r="E7" s="26" t="inlineStr">
        <is>
          <t>Pensión</t>
        </is>
      </c>
      <c r="F7" s="26" t="inlineStr">
        <is>
          <t>Alquiler</t>
        </is>
      </c>
      <c r="G7" s="26" t="inlineStr">
        <is>
          <t>Disponible</t>
        </is>
      </c>
      <c r="H7" s="26" t="inlineStr">
        <is>
          <t>Tarjeta saldo inicial</t>
        </is>
      </c>
      <c r="I7" s="26" t="inlineStr">
        <is>
          <t>Pagado con préstamo</t>
        </is>
      </c>
      <c r="J7" s="26" t="inlineStr">
        <is>
          <t>Interés tarjeta</t>
        </is>
      </c>
      <c r="K7" s="26" t="inlineStr">
        <is>
          <t>Seguro tarjeta</t>
        </is>
      </c>
      <c r="L7" s="26" t="inlineStr">
        <is>
          <t>Pago extra tarjeta</t>
        </is>
      </c>
      <c r="M7" s="26" t="inlineStr">
        <is>
          <t>Tarjeta saldo final</t>
        </is>
      </c>
      <c r="N7" s="26" t="inlineStr">
        <is>
          <t>EC actual saldo inicial</t>
        </is>
      </c>
      <c r="O7" s="26" t="inlineStr">
        <is>
          <t>Interés EC</t>
        </is>
      </c>
      <c r="P7" s="26" t="inlineStr">
        <is>
          <t>Seguro EC</t>
        </is>
      </c>
      <c r="Q7" s="26" t="inlineStr">
        <is>
          <t>Cuota EC</t>
        </is>
      </c>
      <c r="R7" s="26" t="inlineStr">
        <is>
          <t>Prepago EC</t>
        </is>
      </c>
      <c r="S7" s="26" t="inlineStr">
        <is>
          <t>EC saldo final</t>
        </is>
      </c>
      <c r="T7" s="26" t="inlineStr">
        <is>
          <t>Préstamo nuevo saldo inicial</t>
        </is>
      </c>
      <c r="U7" s="26" t="inlineStr">
        <is>
          <t>Desembolso</t>
        </is>
      </c>
      <c r="V7" s="26" t="inlineStr">
        <is>
          <t>Interés préstamo</t>
        </is>
      </c>
      <c r="W7" s="26" t="inlineStr">
        <is>
          <t>Seguro préstamo</t>
        </is>
      </c>
      <c r="X7" s="26" t="inlineStr">
        <is>
          <t>Cuota préstamo</t>
        </is>
      </c>
      <c r="Y7" s="26" t="inlineStr">
        <is>
          <t>Prepago préstamo</t>
        </is>
      </c>
      <c r="Z7" s="26" t="inlineStr">
        <is>
          <t>Préstamo saldo final</t>
        </is>
      </c>
      <c r="AA7" s="26" t="inlineStr">
        <is>
          <t>Pagos obligatorios</t>
        </is>
      </c>
      <c r="AB7" s="26" t="inlineStr">
        <is>
          <t>Ahorro del mes</t>
        </is>
      </c>
      <c r="AC7" s="26" t="inlineStr">
        <is>
          <t>Ahorro acumulado</t>
        </is>
      </c>
      <c r="AD7" s="26" t="inlineStr">
        <is>
          <t>Deuda total</t>
        </is>
      </c>
      <c r="AE7" s="26" t="inlineStr">
        <is>
          <t>Costo financiero del mes</t>
        </is>
      </c>
      <c r="AF7" s="26" t="inlineStr">
        <is>
          <t>Costo financiero acumulado</t>
        </is>
      </c>
      <c r="AG7" s="26" t="inlineStr">
        <is>
          <t>Libre de deuda</t>
        </is>
      </c>
    </row>
    <row r="8">
      <c r="A8" s="27">
        <f>Supuestos!$B$5</f>
        <v/>
      </c>
      <c r="B8" s="28">
        <f>IF(A8=Supuestos!$B$5,Supuestos!$B$7,Supuestos!$B$6)</f>
        <v/>
      </c>
      <c r="C8" s="29">
        <f>IF(A8=Supuestos!$B$16,Supuestos!$B$15,0)</f>
        <v/>
      </c>
      <c r="D8" s="28">
        <f>IF(A8=Supuestos!$B$5,Supuestos!$B$8,Supuestos!$B$43)</f>
        <v/>
      </c>
      <c r="E8" s="29">
        <f>IF(AND(A8&gt;Supuestos!$B$5,A8&lt;=Supuestos!$B$12),Supuestos!$B$11,0)</f>
        <v/>
      </c>
      <c r="F8" s="29">
        <f>IF(A8&gt;=Supuestos!$B$14,Supuestos!$B$13,0)</f>
        <v/>
      </c>
      <c r="G8" s="29">
        <f>B8+C8-D8-E8-F8</f>
        <v/>
      </c>
      <c r="H8" s="28">
        <f>Supuestos!$B$18</f>
        <v/>
      </c>
      <c r="I8" s="29">
        <f>MIN(U8,H8)</f>
        <v/>
      </c>
      <c r="J8" s="29">
        <f>(H8-I8)*Supuestos!$B$46</f>
        <v/>
      </c>
      <c r="K8" s="29">
        <f>IF(H8-I8&gt;0.01,MIN(Supuestos!$B$21,(H8-I8)*Supuestos!$B$20),0)</f>
        <v/>
      </c>
      <c r="L8" s="29">
        <f>MIN(MAX(G8-AA8,0),H8-I8)</f>
        <v/>
      </c>
      <c r="M8" s="29">
        <f>H8-I8-L8</f>
        <v/>
      </c>
      <c r="N8" s="28">
        <f>Supuestos!$B$23</f>
        <v/>
      </c>
      <c r="O8" s="29">
        <f>IF(A8=Supuestos!$B$5,0,N8*Supuestos!$B$47)</f>
        <v/>
      </c>
      <c r="P8" s="29">
        <f>IF(AND(A8&gt;Supuestos!$B$5,N8&gt;0.01),Supuestos!$B$26,0)</f>
        <v/>
      </c>
      <c r="Q8" s="29">
        <f>IF(A8=Supuestos!$B$5,0,MIN(Supuestos!$B$25,N8+O8))</f>
        <v/>
      </c>
      <c r="R8" s="29">
        <f>$B$4*MIN(MAX(G8-AA8-L8,0),N8+O8-Q8)</f>
        <v/>
      </c>
      <c r="S8" s="29">
        <f>N8+O8-Q8-R8</f>
        <v/>
      </c>
      <c r="T8" s="29">
        <f>0</f>
        <v/>
      </c>
      <c r="U8" s="29">
        <f>IF(A8=Supuestos!$B$5,$B$3*Supuestos!$B$28,0)</f>
        <v/>
      </c>
      <c r="V8" s="29">
        <f>T8*Supuestos!$B$48</f>
        <v/>
      </c>
      <c r="W8" s="29">
        <f>IF(T8&gt;0.01,Supuestos!$B$58,0)</f>
        <v/>
      </c>
      <c r="X8" s="29">
        <f>MIN(Supuestos!$B$57,T8+V8)</f>
        <v/>
      </c>
      <c r="Y8" s="29">
        <f>$B$5*MIN(MAX(G8-AA8-L8-R8,0),T8+V8-X8)</f>
        <v/>
      </c>
      <c r="Z8" s="29">
        <f>T8+U8+V8-X8-Y8</f>
        <v/>
      </c>
      <c r="AA8" s="29">
        <f>J8+K8+P8+Q8+W8+X8</f>
        <v/>
      </c>
      <c r="AB8" s="29">
        <f>G8-AA8-L8-R8-Y8+U8-I8</f>
        <v/>
      </c>
      <c r="AC8" s="29">
        <f>AB8</f>
        <v/>
      </c>
      <c r="AD8" s="29">
        <f>M8+S8+Z8</f>
        <v/>
      </c>
      <c r="AE8" s="29">
        <f>J8+K8+O8+P8+V8+W8</f>
        <v/>
      </c>
      <c r="AF8" s="29">
        <f>AE8</f>
        <v/>
      </c>
      <c r="AG8" s="30">
        <f>IF(AD8&lt;0.01,1,0)</f>
        <v/>
      </c>
    </row>
    <row r="9">
      <c r="A9" s="27">
        <f>DATE(YEAR(A8),MONTH(A8)+1,1)</f>
        <v/>
      </c>
      <c r="B9" s="28">
        <f>IF(A9=Supuestos!$B$5,Supuestos!$B$7,Supuestos!$B$6)</f>
        <v/>
      </c>
      <c r="C9" s="29">
        <f>IF(A9=Supuestos!$B$16,Supuestos!$B$15,0)</f>
        <v/>
      </c>
      <c r="D9" s="28">
        <f>IF(A9=Supuestos!$B$5,Supuestos!$B$8,Supuestos!$B$43)</f>
        <v/>
      </c>
      <c r="E9" s="29">
        <f>IF(AND(A9&gt;Supuestos!$B$5,A9&lt;=Supuestos!$B$12),Supuestos!$B$11,0)</f>
        <v/>
      </c>
      <c r="F9" s="29">
        <f>IF(A9&gt;=Supuestos!$B$14,Supuestos!$B$13,0)</f>
        <v/>
      </c>
      <c r="G9" s="29">
        <f>B9+C9-D9-E9-F9</f>
        <v/>
      </c>
      <c r="H9" s="29">
        <f>M8</f>
        <v/>
      </c>
      <c r="I9" s="29">
        <f>MIN(U9,H9)</f>
        <v/>
      </c>
      <c r="J9" s="29">
        <f>(H9-I9)*Supuestos!$B$46</f>
        <v/>
      </c>
      <c r="K9" s="29">
        <f>IF(H9-I9&gt;0.01,MIN(Supuestos!$B$21,(H9-I9)*Supuestos!$B$20),0)</f>
        <v/>
      </c>
      <c r="L9" s="29">
        <f>MIN(MAX(G9-AA9,0),H9-I9)</f>
        <v/>
      </c>
      <c r="M9" s="29">
        <f>H9-I9-L9</f>
        <v/>
      </c>
      <c r="N9" s="29">
        <f>S8</f>
        <v/>
      </c>
      <c r="O9" s="29">
        <f>IF(A9=Supuestos!$B$5,0,N9*Supuestos!$B$47)</f>
        <v/>
      </c>
      <c r="P9" s="29">
        <f>IF(AND(A9&gt;Supuestos!$B$5,N9&gt;0.01),Supuestos!$B$26,0)</f>
        <v/>
      </c>
      <c r="Q9" s="29">
        <f>IF(A9=Supuestos!$B$5,0,MIN(Supuestos!$B$25,N9+O9))</f>
        <v/>
      </c>
      <c r="R9" s="29">
        <f>$B$4*MIN(MAX(G9-AA9-L9,0),N9+O9-Q9)</f>
        <v/>
      </c>
      <c r="S9" s="29">
        <f>N9+O9-Q9-R9</f>
        <v/>
      </c>
      <c r="T9" s="29">
        <f>Z8</f>
        <v/>
      </c>
      <c r="U9" s="29">
        <f>IF(A9=Supuestos!$B$5,$B$3*Supuestos!$B$28,0)</f>
        <v/>
      </c>
      <c r="V9" s="29">
        <f>T9*Supuestos!$B$48</f>
        <v/>
      </c>
      <c r="W9" s="29">
        <f>IF(T9&gt;0.01,Supuestos!$B$58,0)</f>
        <v/>
      </c>
      <c r="X9" s="29">
        <f>MIN(Supuestos!$B$57,T9+V9)</f>
        <v/>
      </c>
      <c r="Y9" s="29">
        <f>$B$5*MIN(MAX(G9-AA9-L9-R9,0),T9+V9-X9)</f>
        <v/>
      </c>
      <c r="Z9" s="29">
        <f>T9+U9+V9-X9-Y9</f>
        <v/>
      </c>
      <c r="AA9" s="29">
        <f>J9+K9+P9+Q9+W9+X9</f>
        <v/>
      </c>
      <c r="AB9" s="29">
        <f>G9-AA9-L9-R9-Y9+U9-I9</f>
        <v/>
      </c>
      <c r="AC9" s="29">
        <f>AC8+AB9</f>
        <v/>
      </c>
      <c r="AD9" s="29">
        <f>M9+S9+Z9</f>
        <v/>
      </c>
      <c r="AE9" s="29">
        <f>J9+K9+O9+P9+V9+W9</f>
        <v/>
      </c>
      <c r="AF9" s="29">
        <f>AF8+AE9</f>
        <v/>
      </c>
      <c r="AG9" s="30">
        <f>IF(AD9&lt;0.01,1,0)</f>
        <v/>
      </c>
    </row>
    <row r="10">
      <c r="A10" s="27">
        <f>DATE(YEAR(A9),MONTH(A9)+1,1)</f>
        <v/>
      </c>
      <c r="B10" s="28">
        <f>IF(A10=Supuestos!$B$5,Supuestos!$B$7,Supuestos!$B$6)</f>
        <v/>
      </c>
      <c r="C10" s="29">
        <f>IF(A10=Supuestos!$B$16,Supuestos!$B$15,0)</f>
        <v/>
      </c>
      <c r="D10" s="28">
        <f>IF(A10=Supuestos!$B$5,Supuestos!$B$8,Supuestos!$B$43)</f>
        <v/>
      </c>
      <c r="E10" s="29">
        <f>IF(AND(A10&gt;Supuestos!$B$5,A10&lt;=Supuestos!$B$12),Supuestos!$B$11,0)</f>
        <v/>
      </c>
      <c r="F10" s="29">
        <f>IF(A10&gt;=Supuestos!$B$14,Supuestos!$B$13,0)</f>
        <v/>
      </c>
      <c r="G10" s="29">
        <f>B10+C10-D10-E10-F10</f>
        <v/>
      </c>
      <c r="H10" s="29">
        <f>M9</f>
        <v/>
      </c>
      <c r="I10" s="29">
        <f>MIN(U10,H10)</f>
        <v/>
      </c>
      <c r="J10" s="29">
        <f>(H10-I10)*Supuestos!$B$46</f>
        <v/>
      </c>
      <c r="K10" s="29">
        <f>IF(H10-I10&gt;0.01,MIN(Supuestos!$B$21,(H10-I10)*Supuestos!$B$20),0)</f>
        <v/>
      </c>
      <c r="L10" s="29">
        <f>MIN(MAX(G10-AA10,0),H10-I10)</f>
        <v/>
      </c>
      <c r="M10" s="29">
        <f>H10-I10-L10</f>
        <v/>
      </c>
      <c r="N10" s="29">
        <f>S9</f>
        <v/>
      </c>
      <c r="O10" s="29">
        <f>IF(A10=Supuestos!$B$5,0,N10*Supuestos!$B$47)</f>
        <v/>
      </c>
      <c r="P10" s="29">
        <f>IF(AND(A10&gt;Supuestos!$B$5,N10&gt;0.01),Supuestos!$B$26,0)</f>
        <v/>
      </c>
      <c r="Q10" s="29">
        <f>IF(A10=Supuestos!$B$5,0,MIN(Supuestos!$B$25,N10+O10))</f>
        <v/>
      </c>
      <c r="R10" s="29">
        <f>$B$4*MIN(MAX(G10-AA10-L10,0),N10+O10-Q10)</f>
        <v/>
      </c>
      <c r="S10" s="29">
        <f>N10+O10-Q10-R10</f>
        <v/>
      </c>
      <c r="T10" s="29">
        <f>Z9</f>
        <v/>
      </c>
      <c r="U10" s="29">
        <f>IF(A10=Supuestos!$B$5,$B$3*Supuestos!$B$28,0)</f>
        <v/>
      </c>
      <c r="V10" s="29">
        <f>T10*Supuestos!$B$48</f>
        <v/>
      </c>
      <c r="W10" s="29">
        <f>IF(T10&gt;0.01,Supuestos!$B$58,0)</f>
        <v/>
      </c>
      <c r="X10" s="29">
        <f>MIN(Supuestos!$B$57,T10+V10)</f>
        <v/>
      </c>
      <c r="Y10" s="29">
        <f>$B$5*MIN(MAX(G10-AA10-L10-R10,0),T10+V10-X10)</f>
        <v/>
      </c>
      <c r="Z10" s="29">
        <f>T10+U10+V10-X10-Y10</f>
        <v/>
      </c>
      <c r="AA10" s="29">
        <f>J10+K10+P10+Q10+W10+X10</f>
        <v/>
      </c>
      <c r="AB10" s="29">
        <f>G10-AA10-L10-R10-Y10+U10-I10</f>
        <v/>
      </c>
      <c r="AC10" s="29">
        <f>AC9+AB10</f>
        <v/>
      </c>
      <c r="AD10" s="29">
        <f>M10+S10+Z10</f>
        <v/>
      </c>
      <c r="AE10" s="29">
        <f>J10+K10+O10+P10+V10+W10</f>
        <v/>
      </c>
      <c r="AF10" s="29">
        <f>AF9+AE10</f>
        <v/>
      </c>
      <c r="AG10" s="30">
        <f>IF(AD10&lt;0.01,1,0)</f>
        <v/>
      </c>
    </row>
    <row r="11">
      <c r="A11" s="27">
        <f>DATE(YEAR(A10),MONTH(A10)+1,1)</f>
        <v/>
      </c>
      <c r="B11" s="28">
        <f>IF(A11=Supuestos!$B$5,Supuestos!$B$7,Supuestos!$B$6)</f>
        <v/>
      </c>
      <c r="C11" s="29">
        <f>IF(A11=Supuestos!$B$16,Supuestos!$B$15,0)</f>
        <v/>
      </c>
      <c r="D11" s="28">
        <f>IF(A11=Supuestos!$B$5,Supuestos!$B$8,Supuestos!$B$43)</f>
        <v/>
      </c>
      <c r="E11" s="29">
        <f>IF(AND(A11&gt;Supuestos!$B$5,A11&lt;=Supuestos!$B$12),Supuestos!$B$11,0)</f>
        <v/>
      </c>
      <c r="F11" s="29">
        <f>IF(A11&gt;=Supuestos!$B$14,Supuestos!$B$13,0)</f>
        <v/>
      </c>
      <c r="G11" s="29">
        <f>B11+C11-D11-E11-F11</f>
        <v/>
      </c>
      <c r="H11" s="29">
        <f>M10</f>
        <v/>
      </c>
      <c r="I11" s="29">
        <f>MIN(U11,H11)</f>
        <v/>
      </c>
      <c r="J11" s="29">
        <f>(H11-I11)*Supuestos!$B$46</f>
        <v/>
      </c>
      <c r="K11" s="29">
        <f>IF(H11-I11&gt;0.01,MIN(Supuestos!$B$21,(H11-I11)*Supuestos!$B$20),0)</f>
        <v/>
      </c>
      <c r="L11" s="29">
        <f>MIN(MAX(G11-AA11,0),H11-I11)</f>
        <v/>
      </c>
      <c r="M11" s="29">
        <f>H11-I11-L11</f>
        <v/>
      </c>
      <c r="N11" s="29">
        <f>S10</f>
        <v/>
      </c>
      <c r="O11" s="29">
        <f>IF(A11=Supuestos!$B$5,0,N11*Supuestos!$B$47)</f>
        <v/>
      </c>
      <c r="P11" s="29">
        <f>IF(AND(A11&gt;Supuestos!$B$5,N11&gt;0.01),Supuestos!$B$26,0)</f>
        <v/>
      </c>
      <c r="Q11" s="29">
        <f>IF(A11=Supuestos!$B$5,0,MIN(Supuestos!$B$25,N11+O11))</f>
        <v/>
      </c>
      <c r="R11" s="29">
        <f>$B$4*MIN(MAX(G11-AA11-L11,0),N11+O11-Q11)</f>
        <v/>
      </c>
      <c r="S11" s="29">
        <f>N11+O11-Q11-R11</f>
        <v/>
      </c>
      <c r="T11" s="29">
        <f>Z10</f>
        <v/>
      </c>
      <c r="U11" s="29">
        <f>IF(A11=Supuestos!$B$5,$B$3*Supuestos!$B$28,0)</f>
        <v/>
      </c>
      <c r="V11" s="29">
        <f>T11*Supuestos!$B$48</f>
        <v/>
      </c>
      <c r="W11" s="29">
        <f>IF(T11&gt;0.01,Supuestos!$B$58,0)</f>
        <v/>
      </c>
      <c r="X11" s="29">
        <f>MIN(Supuestos!$B$57,T11+V11)</f>
        <v/>
      </c>
      <c r="Y11" s="29">
        <f>$B$5*MIN(MAX(G11-AA11-L11-R11,0),T11+V11-X11)</f>
        <v/>
      </c>
      <c r="Z11" s="29">
        <f>T11+U11+V11-X11-Y11</f>
        <v/>
      </c>
      <c r="AA11" s="29">
        <f>J11+K11+P11+Q11+W11+X11</f>
        <v/>
      </c>
      <c r="AB11" s="29">
        <f>G11-AA11-L11-R11-Y11+U11-I11</f>
        <v/>
      </c>
      <c r="AC11" s="29">
        <f>AC10+AB11</f>
        <v/>
      </c>
      <c r="AD11" s="29">
        <f>M11+S11+Z11</f>
        <v/>
      </c>
      <c r="AE11" s="29">
        <f>J11+K11+O11+P11+V11+W11</f>
        <v/>
      </c>
      <c r="AF11" s="29">
        <f>AF10+AE11</f>
        <v/>
      </c>
      <c r="AG11" s="30">
        <f>IF(AD11&lt;0.01,1,0)</f>
        <v/>
      </c>
    </row>
    <row r="12">
      <c r="A12" s="27">
        <f>DATE(YEAR(A11),MONTH(A11)+1,1)</f>
        <v/>
      </c>
      <c r="B12" s="28">
        <f>IF(A12=Supuestos!$B$5,Supuestos!$B$7,Supuestos!$B$6)</f>
        <v/>
      </c>
      <c r="C12" s="29">
        <f>IF(A12=Supuestos!$B$16,Supuestos!$B$15,0)</f>
        <v/>
      </c>
      <c r="D12" s="28">
        <f>IF(A12=Supuestos!$B$5,Supuestos!$B$8,Supuestos!$B$43)</f>
        <v/>
      </c>
      <c r="E12" s="29">
        <f>IF(AND(A12&gt;Supuestos!$B$5,A12&lt;=Supuestos!$B$12),Supuestos!$B$11,0)</f>
        <v/>
      </c>
      <c r="F12" s="29">
        <f>IF(A12&gt;=Supuestos!$B$14,Supuestos!$B$13,0)</f>
        <v/>
      </c>
      <c r="G12" s="29">
        <f>B12+C12-D12-E12-F12</f>
        <v/>
      </c>
      <c r="H12" s="29">
        <f>M11</f>
        <v/>
      </c>
      <c r="I12" s="29">
        <f>MIN(U12,H12)</f>
        <v/>
      </c>
      <c r="J12" s="29">
        <f>(H12-I12)*Supuestos!$B$46</f>
        <v/>
      </c>
      <c r="K12" s="29">
        <f>IF(H12-I12&gt;0.01,MIN(Supuestos!$B$21,(H12-I12)*Supuestos!$B$20),0)</f>
        <v/>
      </c>
      <c r="L12" s="29">
        <f>MIN(MAX(G12-AA12,0),H12-I12)</f>
        <v/>
      </c>
      <c r="M12" s="29">
        <f>H12-I12-L12</f>
        <v/>
      </c>
      <c r="N12" s="29">
        <f>S11</f>
        <v/>
      </c>
      <c r="O12" s="29">
        <f>IF(A12=Supuestos!$B$5,0,N12*Supuestos!$B$47)</f>
        <v/>
      </c>
      <c r="P12" s="29">
        <f>IF(AND(A12&gt;Supuestos!$B$5,N12&gt;0.01),Supuestos!$B$26,0)</f>
        <v/>
      </c>
      <c r="Q12" s="29">
        <f>IF(A12=Supuestos!$B$5,0,MIN(Supuestos!$B$25,N12+O12))</f>
        <v/>
      </c>
      <c r="R12" s="29">
        <f>$B$4*MIN(MAX(G12-AA12-L12,0),N12+O12-Q12)</f>
        <v/>
      </c>
      <c r="S12" s="29">
        <f>N12+O12-Q12-R12</f>
        <v/>
      </c>
      <c r="T12" s="29">
        <f>Z11</f>
        <v/>
      </c>
      <c r="U12" s="29">
        <f>IF(A12=Supuestos!$B$5,$B$3*Supuestos!$B$28,0)</f>
        <v/>
      </c>
      <c r="V12" s="29">
        <f>T12*Supuestos!$B$48</f>
        <v/>
      </c>
      <c r="W12" s="29">
        <f>IF(T12&gt;0.01,Supuestos!$B$58,0)</f>
        <v/>
      </c>
      <c r="X12" s="29">
        <f>MIN(Supuestos!$B$57,T12+V12)</f>
        <v/>
      </c>
      <c r="Y12" s="29">
        <f>$B$5*MIN(MAX(G12-AA12-L12-R12,0),T12+V12-X12)</f>
        <v/>
      </c>
      <c r="Z12" s="29">
        <f>T12+U12+V12-X12-Y12</f>
        <v/>
      </c>
      <c r="AA12" s="29">
        <f>J12+K12+P12+Q12+W12+X12</f>
        <v/>
      </c>
      <c r="AB12" s="29">
        <f>G12-AA12-L12-R12-Y12+U12-I12</f>
        <v/>
      </c>
      <c r="AC12" s="29">
        <f>AC11+AB12</f>
        <v/>
      </c>
      <c r="AD12" s="29">
        <f>M12+S12+Z12</f>
        <v/>
      </c>
      <c r="AE12" s="29">
        <f>J12+K12+O12+P12+V12+W12</f>
        <v/>
      </c>
      <c r="AF12" s="29">
        <f>AF11+AE12</f>
        <v/>
      </c>
      <c r="AG12" s="30">
        <f>IF(AD12&lt;0.01,1,0)</f>
        <v/>
      </c>
    </row>
    <row r="13">
      <c r="A13" s="27">
        <f>DATE(YEAR(A12),MONTH(A12)+1,1)</f>
        <v/>
      </c>
      <c r="B13" s="28">
        <f>IF(A13=Supuestos!$B$5,Supuestos!$B$7,Supuestos!$B$6)</f>
        <v/>
      </c>
      <c r="C13" s="29">
        <f>IF(A13=Supuestos!$B$16,Supuestos!$B$15,0)</f>
        <v/>
      </c>
      <c r="D13" s="28">
        <f>IF(A13=Supuestos!$B$5,Supuestos!$B$8,Supuestos!$B$43)</f>
        <v/>
      </c>
      <c r="E13" s="29">
        <f>IF(AND(A13&gt;Supuestos!$B$5,A13&lt;=Supuestos!$B$12),Supuestos!$B$11,0)</f>
        <v/>
      </c>
      <c r="F13" s="29">
        <f>IF(A13&gt;=Supuestos!$B$14,Supuestos!$B$13,0)</f>
        <v/>
      </c>
      <c r="G13" s="29">
        <f>B13+C13-D13-E13-F13</f>
        <v/>
      </c>
      <c r="H13" s="29">
        <f>M12</f>
        <v/>
      </c>
      <c r="I13" s="29">
        <f>MIN(U13,H13)</f>
        <v/>
      </c>
      <c r="J13" s="29">
        <f>(H13-I13)*Supuestos!$B$46</f>
        <v/>
      </c>
      <c r="K13" s="29">
        <f>IF(H13-I13&gt;0.01,MIN(Supuestos!$B$21,(H13-I13)*Supuestos!$B$20),0)</f>
        <v/>
      </c>
      <c r="L13" s="29">
        <f>MIN(MAX(G13-AA13,0),H13-I13)</f>
        <v/>
      </c>
      <c r="M13" s="29">
        <f>H13-I13-L13</f>
        <v/>
      </c>
      <c r="N13" s="29">
        <f>S12</f>
        <v/>
      </c>
      <c r="O13" s="29">
        <f>IF(A13=Supuestos!$B$5,0,N13*Supuestos!$B$47)</f>
        <v/>
      </c>
      <c r="P13" s="29">
        <f>IF(AND(A13&gt;Supuestos!$B$5,N13&gt;0.01),Supuestos!$B$26,0)</f>
        <v/>
      </c>
      <c r="Q13" s="29">
        <f>IF(A13=Supuestos!$B$5,0,MIN(Supuestos!$B$25,N13+O13))</f>
        <v/>
      </c>
      <c r="R13" s="29">
        <f>$B$4*MIN(MAX(G13-AA13-L13,0),N13+O13-Q13)</f>
        <v/>
      </c>
      <c r="S13" s="29">
        <f>N13+O13-Q13-R13</f>
        <v/>
      </c>
      <c r="T13" s="29">
        <f>Z12</f>
        <v/>
      </c>
      <c r="U13" s="29">
        <f>IF(A13=Supuestos!$B$5,$B$3*Supuestos!$B$28,0)</f>
        <v/>
      </c>
      <c r="V13" s="29">
        <f>T13*Supuestos!$B$48</f>
        <v/>
      </c>
      <c r="W13" s="29">
        <f>IF(T13&gt;0.01,Supuestos!$B$58,0)</f>
        <v/>
      </c>
      <c r="X13" s="29">
        <f>MIN(Supuestos!$B$57,T13+V13)</f>
        <v/>
      </c>
      <c r="Y13" s="29">
        <f>$B$5*MIN(MAX(G13-AA13-L13-R13,0),T13+V13-X13)</f>
        <v/>
      </c>
      <c r="Z13" s="29">
        <f>T13+U13+V13-X13-Y13</f>
        <v/>
      </c>
      <c r="AA13" s="29">
        <f>J13+K13+P13+Q13+W13+X13</f>
        <v/>
      </c>
      <c r="AB13" s="29">
        <f>G13-AA13-L13-R13-Y13+U13-I13</f>
        <v/>
      </c>
      <c r="AC13" s="29">
        <f>AC12+AB13</f>
        <v/>
      </c>
      <c r="AD13" s="29">
        <f>M13+S13+Z13</f>
        <v/>
      </c>
      <c r="AE13" s="29">
        <f>J13+K13+O13+P13+V13+W13</f>
        <v/>
      </c>
      <c r="AF13" s="29">
        <f>AF12+AE13</f>
        <v/>
      </c>
      <c r="AG13" s="30">
        <f>IF(AD13&lt;0.01,1,0)</f>
        <v/>
      </c>
    </row>
    <row r="14">
      <c r="A14" s="27">
        <f>DATE(YEAR(A13),MONTH(A13)+1,1)</f>
        <v/>
      </c>
      <c r="B14" s="28">
        <f>IF(A14=Supuestos!$B$5,Supuestos!$B$7,Supuestos!$B$6)</f>
        <v/>
      </c>
      <c r="C14" s="29">
        <f>IF(A14=Supuestos!$B$16,Supuestos!$B$15,0)</f>
        <v/>
      </c>
      <c r="D14" s="28">
        <f>IF(A14=Supuestos!$B$5,Supuestos!$B$8,Supuestos!$B$43)</f>
        <v/>
      </c>
      <c r="E14" s="29">
        <f>IF(AND(A14&gt;Supuestos!$B$5,A14&lt;=Supuestos!$B$12),Supuestos!$B$11,0)</f>
        <v/>
      </c>
      <c r="F14" s="29">
        <f>IF(A14&gt;=Supuestos!$B$14,Supuestos!$B$13,0)</f>
        <v/>
      </c>
      <c r="G14" s="29">
        <f>B14+C14-D14-E14-F14</f>
        <v/>
      </c>
      <c r="H14" s="29">
        <f>M13</f>
        <v/>
      </c>
      <c r="I14" s="29">
        <f>MIN(U14,H14)</f>
        <v/>
      </c>
      <c r="J14" s="29">
        <f>(H14-I14)*Supuestos!$B$46</f>
        <v/>
      </c>
      <c r="K14" s="29">
        <f>IF(H14-I14&gt;0.01,MIN(Supuestos!$B$21,(H14-I14)*Supuestos!$B$20),0)</f>
        <v/>
      </c>
      <c r="L14" s="29">
        <f>MIN(MAX(G14-AA14,0),H14-I14)</f>
        <v/>
      </c>
      <c r="M14" s="29">
        <f>H14-I14-L14</f>
        <v/>
      </c>
      <c r="N14" s="29">
        <f>S13</f>
        <v/>
      </c>
      <c r="O14" s="29">
        <f>IF(A14=Supuestos!$B$5,0,N14*Supuestos!$B$47)</f>
        <v/>
      </c>
      <c r="P14" s="29">
        <f>IF(AND(A14&gt;Supuestos!$B$5,N14&gt;0.01),Supuestos!$B$26,0)</f>
        <v/>
      </c>
      <c r="Q14" s="29">
        <f>IF(A14=Supuestos!$B$5,0,MIN(Supuestos!$B$25,N14+O14))</f>
        <v/>
      </c>
      <c r="R14" s="29">
        <f>$B$4*MIN(MAX(G14-AA14-L14,0),N14+O14-Q14)</f>
        <v/>
      </c>
      <c r="S14" s="29">
        <f>N14+O14-Q14-R14</f>
        <v/>
      </c>
      <c r="T14" s="29">
        <f>Z13</f>
        <v/>
      </c>
      <c r="U14" s="29">
        <f>IF(A14=Supuestos!$B$5,$B$3*Supuestos!$B$28,0)</f>
        <v/>
      </c>
      <c r="V14" s="29">
        <f>T14*Supuestos!$B$48</f>
        <v/>
      </c>
      <c r="W14" s="29">
        <f>IF(T14&gt;0.01,Supuestos!$B$58,0)</f>
        <v/>
      </c>
      <c r="X14" s="29">
        <f>MIN(Supuestos!$B$57,T14+V14)</f>
        <v/>
      </c>
      <c r="Y14" s="29">
        <f>$B$5*MIN(MAX(G14-AA14-L14-R14,0),T14+V14-X14)</f>
        <v/>
      </c>
      <c r="Z14" s="29">
        <f>T14+U14+V14-X14-Y14</f>
        <v/>
      </c>
      <c r="AA14" s="29">
        <f>J14+K14+P14+Q14+W14+X14</f>
        <v/>
      </c>
      <c r="AB14" s="29">
        <f>G14-AA14-L14-R14-Y14+U14-I14</f>
        <v/>
      </c>
      <c r="AC14" s="29">
        <f>AC13+AB14</f>
        <v/>
      </c>
      <c r="AD14" s="29">
        <f>M14+S14+Z14</f>
        <v/>
      </c>
      <c r="AE14" s="29">
        <f>J14+K14+O14+P14+V14+W14</f>
        <v/>
      </c>
      <c r="AF14" s="29">
        <f>AF13+AE14</f>
        <v/>
      </c>
      <c r="AG14" s="30">
        <f>IF(AD14&lt;0.01,1,0)</f>
        <v/>
      </c>
    </row>
    <row r="15">
      <c r="A15" s="27">
        <f>DATE(YEAR(A14),MONTH(A14)+1,1)</f>
        <v/>
      </c>
      <c r="B15" s="28">
        <f>IF(A15=Supuestos!$B$5,Supuestos!$B$7,Supuestos!$B$6)</f>
        <v/>
      </c>
      <c r="C15" s="29">
        <f>IF(A15=Supuestos!$B$16,Supuestos!$B$15,0)</f>
        <v/>
      </c>
      <c r="D15" s="28">
        <f>IF(A15=Supuestos!$B$5,Supuestos!$B$8,Supuestos!$B$43)</f>
        <v/>
      </c>
      <c r="E15" s="29">
        <f>IF(AND(A15&gt;Supuestos!$B$5,A15&lt;=Supuestos!$B$12),Supuestos!$B$11,0)</f>
        <v/>
      </c>
      <c r="F15" s="29">
        <f>IF(A15&gt;=Supuestos!$B$14,Supuestos!$B$13,0)</f>
        <v/>
      </c>
      <c r="G15" s="29">
        <f>B15+C15-D15-E15-F15</f>
        <v/>
      </c>
      <c r="H15" s="29">
        <f>M14</f>
        <v/>
      </c>
      <c r="I15" s="29">
        <f>MIN(U15,H15)</f>
        <v/>
      </c>
      <c r="J15" s="29">
        <f>(H15-I15)*Supuestos!$B$46</f>
        <v/>
      </c>
      <c r="K15" s="29">
        <f>IF(H15-I15&gt;0.01,MIN(Supuestos!$B$21,(H15-I15)*Supuestos!$B$20),0)</f>
        <v/>
      </c>
      <c r="L15" s="29">
        <f>MIN(MAX(G15-AA15,0),H15-I15)</f>
        <v/>
      </c>
      <c r="M15" s="29">
        <f>H15-I15-L15</f>
        <v/>
      </c>
      <c r="N15" s="29">
        <f>S14</f>
        <v/>
      </c>
      <c r="O15" s="29">
        <f>IF(A15=Supuestos!$B$5,0,N15*Supuestos!$B$47)</f>
        <v/>
      </c>
      <c r="P15" s="29">
        <f>IF(AND(A15&gt;Supuestos!$B$5,N15&gt;0.01),Supuestos!$B$26,0)</f>
        <v/>
      </c>
      <c r="Q15" s="29">
        <f>IF(A15=Supuestos!$B$5,0,MIN(Supuestos!$B$25,N15+O15))</f>
        <v/>
      </c>
      <c r="R15" s="29">
        <f>$B$4*MIN(MAX(G15-AA15-L15,0),N15+O15-Q15)</f>
        <v/>
      </c>
      <c r="S15" s="29">
        <f>N15+O15-Q15-R15</f>
        <v/>
      </c>
      <c r="T15" s="29">
        <f>Z14</f>
        <v/>
      </c>
      <c r="U15" s="29">
        <f>IF(A15=Supuestos!$B$5,$B$3*Supuestos!$B$28,0)</f>
        <v/>
      </c>
      <c r="V15" s="29">
        <f>T15*Supuestos!$B$48</f>
        <v/>
      </c>
      <c r="W15" s="29">
        <f>IF(T15&gt;0.01,Supuestos!$B$58,0)</f>
        <v/>
      </c>
      <c r="X15" s="29">
        <f>MIN(Supuestos!$B$57,T15+V15)</f>
        <v/>
      </c>
      <c r="Y15" s="29">
        <f>$B$5*MIN(MAX(G15-AA15-L15-R15,0),T15+V15-X15)</f>
        <v/>
      </c>
      <c r="Z15" s="29">
        <f>T15+U15+V15-X15-Y15</f>
        <v/>
      </c>
      <c r="AA15" s="29">
        <f>J15+K15+P15+Q15+W15+X15</f>
        <v/>
      </c>
      <c r="AB15" s="29">
        <f>G15-AA15-L15-R15-Y15+U15-I15</f>
        <v/>
      </c>
      <c r="AC15" s="29">
        <f>AC14+AB15</f>
        <v/>
      </c>
      <c r="AD15" s="29">
        <f>M15+S15+Z15</f>
        <v/>
      </c>
      <c r="AE15" s="29">
        <f>J15+K15+O15+P15+V15+W15</f>
        <v/>
      </c>
      <c r="AF15" s="29">
        <f>AF14+AE15</f>
        <v/>
      </c>
      <c r="AG15" s="30">
        <f>IF(AD15&lt;0.01,1,0)</f>
        <v/>
      </c>
    </row>
    <row r="16">
      <c r="A16" s="27">
        <f>DATE(YEAR(A15),MONTH(A15)+1,1)</f>
        <v/>
      </c>
      <c r="B16" s="28">
        <f>IF(A16=Supuestos!$B$5,Supuestos!$B$7,Supuestos!$B$6)</f>
        <v/>
      </c>
      <c r="C16" s="29">
        <f>IF(A16=Supuestos!$B$16,Supuestos!$B$15,0)</f>
        <v/>
      </c>
      <c r="D16" s="28">
        <f>IF(A16=Supuestos!$B$5,Supuestos!$B$8,Supuestos!$B$43)</f>
        <v/>
      </c>
      <c r="E16" s="29">
        <f>IF(AND(A16&gt;Supuestos!$B$5,A16&lt;=Supuestos!$B$12),Supuestos!$B$11,0)</f>
        <v/>
      </c>
      <c r="F16" s="29">
        <f>IF(A16&gt;=Supuestos!$B$14,Supuestos!$B$13,0)</f>
        <v/>
      </c>
      <c r="G16" s="29">
        <f>B16+C16-D16-E16-F16</f>
        <v/>
      </c>
      <c r="H16" s="29">
        <f>M15</f>
        <v/>
      </c>
      <c r="I16" s="29">
        <f>MIN(U16,H16)</f>
        <v/>
      </c>
      <c r="J16" s="29">
        <f>(H16-I16)*Supuestos!$B$46</f>
        <v/>
      </c>
      <c r="K16" s="29">
        <f>IF(H16-I16&gt;0.01,MIN(Supuestos!$B$21,(H16-I16)*Supuestos!$B$20),0)</f>
        <v/>
      </c>
      <c r="L16" s="29">
        <f>MIN(MAX(G16-AA16,0),H16-I16)</f>
        <v/>
      </c>
      <c r="M16" s="29">
        <f>H16-I16-L16</f>
        <v/>
      </c>
      <c r="N16" s="29">
        <f>S15</f>
        <v/>
      </c>
      <c r="O16" s="29">
        <f>IF(A16=Supuestos!$B$5,0,N16*Supuestos!$B$47)</f>
        <v/>
      </c>
      <c r="P16" s="29">
        <f>IF(AND(A16&gt;Supuestos!$B$5,N16&gt;0.01),Supuestos!$B$26,0)</f>
        <v/>
      </c>
      <c r="Q16" s="29">
        <f>IF(A16=Supuestos!$B$5,0,MIN(Supuestos!$B$25,N16+O16))</f>
        <v/>
      </c>
      <c r="R16" s="29">
        <f>$B$4*MIN(MAX(G16-AA16-L16,0),N16+O16-Q16)</f>
        <v/>
      </c>
      <c r="S16" s="29">
        <f>N16+O16-Q16-R16</f>
        <v/>
      </c>
      <c r="T16" s="29">
        <f>Z15</f>
        <v/>
      </c>
      <c r="U16" s="29">
        <f>IF(A16=Supuestos!$B$5,$B$3*Supuestos!$B$28,0)</f>
        <v/>
      </c>
      <c r="V16" s="29">
        <f>T16*Supuestos!$B$48</f>
        <v/>
      </c>
      <c r="W16" s="29">
        <f>IF(T16&gt;0.01,Supuestos!$B$58,0)</f>
        <v/>
      </c>
      <c r="X16" s="29">
        <f>MIN(Supuestos!$B$57,T16+V16)</f>
        <v/>
      </c>
      <c r="Y16" s="29">
        <f>$B$5*MIN(MAX(G16-AA16-L16-R16,0),T16+V16-X16)</f>
        <v/>
      </c>
      <c r="Z16" s="29">
        <f>T16+U16+V16-X16-Y16</f>
        <v/>
      </c>
      <c r="AA16" s="29">
        <f>J16+K16+P16+Q16+W16+X16</f>
        <v/>
      </c>
      <c r="AB16" s="29">
        <f>G16-AA16-L16-R16-Y16+U16-I16</f>
        <v/>
      </c>
      <c r="AC16" s="29">
        <f>AC15+AB16</f>
        <v/>
      </c>
      <c r="AD16" s="29">
        <f>M16+S16+Z16</f>
        <v/>
      </c>
      <c r="AE16" s="29">
        <f>J16+K16+O16+P16+V16+W16</f>
        <v/>
      </c>
      <c r="AF16" s="29">
        <f>AF15+AE16</f>
        <v/>
      </c>
      <c r="AG16" s="30">
        <f>IF(AD16&lt;0.01,1,0)</f>
        <v/>
      </c>
    </row>
    <row r="17">
      <c r="A17" s="27">
        <f>DATE(YEAR(A16),MONTH(A16)+1,1)</f>
        <v/>
      </c>
      <c r="B17" s="28">
        <f>IF(A17=Supuestos!$B$5,Supuestos!$B$7,Supuestos!$B$6)</f>
        <v/>
      </c>
      <c r="C17" s="29">
        <f>IF(A17=Supuestos!$B$16,Supuestos!$B$15,0)</f>
        <v/>
      </c>
      <c r="D17" s="28">
        <f>IF(A17=Supuestos!$B$5,Supuestos!$B$8,Supuestos!$B$43)</f>
        <v/>
      </c>
      <c r="E17" s="29">
        <f>IF(AND(A17&gt;Supuestos!$B$5,A17&lt;=Supuestos!$B$12),Supuestos!$B$11,0)</f>
        <v/>
      </c>
      <c r="F17" s="29">
        <f>IF(A17&gt;=Supuestos!$B$14,Supuestos!$B$13,0)</f>
        <v/>
      </c>
      <c r="G17" s="29">
        <f>B17+C17-D17-E17-F17</f>
        <v/>
      </c>
      <c r="H17" s="29">
        <f>M16</f>
        <v/>
      </c>
      <c r="I17" s="29">
        <f>MIN(U17,H17)</f>
        <v/>
      </c>
      <c r="J17" s="29">
        <f>(H17-I17)*Supuestos!$B$46</f>
        <v/>
      </c>
      <c r="K17" s="29">
        <f>IF(H17-I17&gt;0.01,MIN(Supuestos!$B$21,(H17-I17)*Supuestos!$B$20),0)</f>
        <v/>
      </c>
      <c r="L17" s="29">
        <f>MIN(MAX(G17-AA17,0),H17-I17)</f>
        <v/>
      </c>
      <c r="M17" s="29">
        <f>H17-I17-L17</f>
        <v/>
      </c>
      <c r="N17" s="29">
        <f>S16</f>
        <v/>
      </c>
      <c r="O17" s="29">
        <f>IF(A17=Supuestos!$B$5,0,N17*Supuestos!$B$47)</f>
        <v/>
      </c>
      <c r="P17" s="29">
        <f>IF(AND(A17&gt;Supuestos!$B$5,N17&gt;0.01),Supuestos!$B$26,0)</f>
        <v/>
      </c>
      <c r="Q17" s="29">
        <f>IF(A17=Supuestos!$B$5,0,MIN(Supuestos!$B$25,N17+O17))</f>
        <v/>
      </c>
      <c r="R17" s="29">
        <f>$B$4*MIN(MAX(G17-AA17-L17,0),N17+O17-Q17)</f>
        <v/>
      </c>
      <c r="S17" s="29">
        <f>N17+O17-Q17-R17</f>
        <v/>
      </c>
      <c r="T17" s="29">
        <f>Z16</f>
        <v/>
      </c>
      <c r="U17" s="29">
        <f>IF(A17=Supuestos!$B$5,$B$3*Supuestos!$B$28,0)</f>
        <v/>
      </c>
      <c r="V17" s="29">
        <f>T17*Supuestos!$B$48</f>
        <v/>
      </c>
      <c r="W17" s="29">
        <f>IF(T17&gt;0.01,Supuestos!$B$58,0)</f>
        <v/>
      </c>
      <c r="X17" s="29">
        <f>MIN(Supuestos!$B$57,T17+V17)</f>
        <v/>
      </c>
      <c r="Y17" s="29">
        <f>$B$5*MIN(MAX(G17-AA17-L17-R17,0),T17+V17-X17)</f>
        <v/>
      </c>
      <c r="Z17" s="29">
        <f>T17+U17+V17-X17-Y17</f>
        <v/>
      </c>
      <c r="AA17" s="29">
        <f>J17+K17+P17+Q17+W17+X17</f>
        <v/>
      </c>
      <c r="AB17" s="29">
        <f>G17-AA17-L17-R17-Y17+U17-I17</f>
        <v/>
      </c>
      <c r="AC17" s="29">
        <f>AC16+AB17</f>
        <v/>
      </c>
      <c r="AD17" s="29">
        <f>M17+S17+Z17</f>
        <v/>
      </c>
      <c r="AE17" s="29">
        <f>J17+K17+O17+P17+V17+W17</f>
        <v/>
      </c>
      <c r="AF17" s="29">
        <f>AF16+AE17</f>
        <v/>
      </c>
      <c r="AG17" s="30">
        <f>IF(AD17&lt;0.01,1,0)</f>
        <v/>
      </c>
    </row>
    <row r="18">
      <c r="A18" s="27">
        <f>DATE(YEAR(A17),MONTH(A17)+1,1)</f>
        <v/>
      </c>
      <c r="B18" s="28">
        <f>IF(A18=Supuestos!$B$5,Supuestos!$B$7,Supuestos!$B$6)</f>
        <v/>
      </c>
      <c r="C18" s="29">
        <f>IF(A18=Supuestos!$B$16,Supuestos!$B$15,0)</f>
        <v/>
      </c>
      <c r="D18" s="28">
        <f>IF(A18=Supuestos!$B$5,Supuestos!$B$8,Supuestos!$B$43)</f>
        <v/>
      </c>
      <c r="E18" s="29">
        <f>IF(AND(A18&gt;Supuestos!$B$5,A18&lt;=Supuestos!$B$12),Supuestos!$B$11,0)</f>
        <v/>
      </c>
      <c r="F18" s="29">
        <f>IF(A18&gt;=Supuestos!$B$14,Supuestos!$B$13,0)</f>
        <v/>
      </c>
      <c r="G18" s="29">
        <f>B18+C18-D18-E18-F18</f>
        <v/>
      </c>
      <c r="H18" s="29">
        <f>M17</f>
        <v/>
      </c>
      <c r="I18" s="29">
        <f>MIN(U18,H18)</f>
        <v/>
      </c>
      <c r="J18" s="29">
        <f>(H18-I18)*Supuestos!$B$46</f>
        <v/>
      </c>
      <c r="K18" s="29">
        <f>IF(H18-I18&gt;0.01,MIN(Supuestos!$B$21,(H18-I18)*Supuestos!$B$20),0)</f>
        <v/>
      </c>
      <c r="L18" s="29">
        <f>MIN(MAX(G18-AA18,0),H18-I18)</f>
        <v/>
      </c>
      <c r="M18" s="29">
        <f>H18-I18-L18</f>
        <v/>
      </c>
      <c r="N18" s="29">
        <f>S17</f>
        <v/>
      </c>
      <c r="O18" s="29">
        <f>IF(A18=Supuestos!$B$5,0,N18*Supuestos!$B$47)</f>
        <v/>
      </c>
      <c r="P18" s="29">
        <f>IF(AND(A18&gt;Supuestos!$B$5,N18&gt;0.01),Supuestos!$B$26,0)</f>
        <v/>
      </c>
      <c r="Q18" s="29">
        <f>IF(A18=Supuestos!$B$5,0,MIN(Supuestos!$B$25,N18+O18))</f>
        <v/>
      </c>
      <c r="R18" s="29">
        <f>$B$4*MIN(MAX(G18-AA18-L18,0),N18+O18-Q18)</f>
        <v/>
      </c>
      <c r="S18" s="29">
        <f>N18+O18-Q18-R18</f>
        <v/>
      </c>
      <c r="T18" s="29">
        <f>Z17</f>
        <v/>
      </c>
      <c r="U18" s="29">
        <f>IF(A18=Supuestos!$B$5,$B$3*Supuestos!$B$28,0)</f>
        <v/>
      </c>
      <c r="V18" s="29">
        <f>T18*Supuestos!$B$48</f>
        <v/>
      </c>
      <c r="W18" s="29">
        <f>IF(T18&gt;0.01,Supuestos!$B$58,0)</f>
        <v/>
      </c>
      <c r="X18" s="29">
        <f>MIN(Supuestos!$B$57,T18+V18)</f>
        <v/>
      </c>
      <c r="Y18" s="29">
        <f>$B$5*MIN(MAX(G18-AA18-L18-R18,0),T18+V18-X18)</f>
        <v/>
      </c>
      <c r="Z18" s="29">
        <f>T18+U18+V18-X18-Y18</f>
        <v/>
      </c>
      <c r="AA18" s="29">
        <f>J18+K18+P18+Q18+W18+X18</f>
        <v/>
      </c>
      <c r="AB18" s="29">
        <f>G18-AA18-L18-R18-Y18+U18-I18</f>
        <v/>
      </c>
      <c r="AC18" s="29">
        <f>AC17+AB18</f>
        <v/>
      </c>
      <c r="AD18" s="29">
        <f>M18+S18+Z18</f>
        <v/>
      </c>
      <c r="AE18" s="29">
        <f>J18+K18+O18+P18+V18+W18</f>
        <v/>
      </c>
      <c r="AF18" s="29">
        <f>AF17+AE18</f>
        <v/>
      </c>
      <c r="AG18" s="30">
        <f>IF(AD18&lt;0.01,1,0)</f>
        <v/>
      </c>
    </row>
    <row r="19">
      <c r="A19" s="27">
        <f>DATE(YEAR(A18),MONTH(A18)+1,1)</f>
        <v/>
      </c>
      <c r="B19" s="28">
        <f>IF(A19=Supuestos!$B$5,Supuestos!$B$7,Supuestos!$B$6)</f>
        <v/>
      </c>
      <c r="C19" s="29">
        <f>IF(A19=Supuestos!$B$16,Supuestos!$B$15,0)</f>
        <v/>
      </c>
      <c r="D19" s="28">
        <f>IF(A19=Supuestos!$B$5,Supuestos!$B$8,Supuestos!$B$43)</f>
        <v/>
      </c>
      <c r="E19" s="29">
        <f>IF(AND(A19&gt;Supuestos!$B$5,A19&lt;=Supuestos!$B$12),Supuestos!$B$11,0)</f>
        <v/>
      </c>
      <c r="F19" s="29">
        <f>IF(A19&gt;=Supuestos!$B$14,Supuestos!$B$13,0)</f>
        <v/>
      </c>
      <c r="G19" s="29">
        <f>B19+C19-D19-E19-F19</f>
        <v/>
      </c>
      <c r="H19" s="29">
        <f>M18</f>
        <v/>
      </c>
      <c r="I19" s="29">
        <f>MIN(U19,H19)</f>
        <v/>
      </c>
      <c r="J19" s="29">
        <f>(H19-I19)*Supuestos!$B$46</f>
        <v/>
      </c>
      <c r="K19" s="29">
        <f>IF(H19-I19&gt;0.01,MIN(Supuestos!$B$21,(H19-I19)*Supuestos!$B$20),0)</f>
        <v/>
      </c>
      <c r="L19" s="29">
        <f>MIN(MAX(G19-AA19,0),H19-I19)</f>
        <v/>
      </c>
      <c r="M19" s="29">
        <f>H19-I19-L19</f>
        <v/>
      </c>
      <c r="N19" s="29">
        <f>S18</f>
        <v/>
      </c>
      <c r="O19" s="29">
        <f>IF(A19=Supuestos!$B$5,0,N19*Supuestos!$B$47)</f>
        <v/>
      </c>
      <c r="P19" s="29">
        <f>IF(AND(A19&gt;Supuestos!$B$5,N19&gt;0.01),Supuestos!$B$26,0)</f>
        <v/>
      </c>
      <c r="Q19" s="29">
        <f>IF(A19=Supuestos!$B$5,0,MIN(Supuestos!$B$25,N19+O19))</f>
        <v/>
      </c>
      <c r="R19" s="29">
        <f>$B$4*MIN(MAX(G19-AA19-L19,0),N19+O19-Q19)</f>
        <v/>
      </c>
      <c r="S19" s="29">
        <f>N19+O19-Q19-R19</f>
        <v/>
      </c>
      <c r="T19" s="29">
        <f>Z18</f>
        <v/>
      </c>
      <c r="U19" s="29">
        <f>IF(A19=Supuestos!$B$5,$B$3*Supuestos!$B$28,0)</f>
        <v/>
      </c>
      <c r="V19" s="29">
        <f>T19*Supuestos!$B$48</f>
        <v/>
      </c>
      <c r="W19" s="29">
        <f>IF(T19&gt;0.01,Supuestos!$B$58,0)</f>
        <v/>
      </c>
      <c r="X19" s="29">
        <f>MIN(Supuestos!$B$57,T19+V19)</f>
        <v/>
      </c>
      <c r="Y19" s="29">
        <f>$B$5*MIN(MAX(G19-AA19-L19-R19,0),T19+V19-X19)</f>
        <v/>
      </c>
      <c r="Z19" s="29">
        <f>T19+U19+V19-X19-Y19</f>
        <v/>
      </c>
      <c r="AA19" s="29">
        <f>J19+K19+P19+Q19+W19+X19</f>
        <v/>
      </c>
      <c r="AB19" s="29">
        <f>G19-AA19-L19-R19-Y19+U19-I19</f>
        <v/>
      </c>
      <c r="AC19" s="29">
        <f>AC18+AB19</f>
        <v/>
      </c>
      <c r="AD19" s="29">
        <f>M19+S19+Z19</f>
        <v/>
      </c>
      <c r="AE19" s="29">
        <f>J19+K19+O19+P19+V19+W19</f>
        <v/>
      </c>
      <c r="AF19" s="29">
        <f>AF18+AE19</f>
        <v/>
      </c>
      <c r="AG19" s="30">
        <f>IF(AD19&lt;0.01,1,0)</f>
        <v/>
      </c>
    </row>
    <row r="20">
      <c r="A20" s="27">
        <f>DATE(YEAR(A19),MONTH(A19)+1,1)</f>
        <v/>
      </c>
      <c r="B20" s="28">
        <f>IF(A20=Supuestos!$B$5,Supuestos!$B$7,Supuestos!$B$6)</f>
        <v/>
      </c>
      <c r="C20" s="29">
        <f>IF(A20=Supuestos!$B$16,Supuestos!$B$15,0)</f>
        <v/>
      </c>
      <c r="D20" s="28">
        <f>IF(A20=Supuestos!$B$5,Supuestos!$B$8,Supuestos!$B$43)</f>
        <v/>
      </c>
      <c r="E20" s="29">
        <f>IF(AND(A20&gt;Supuestos!$B$5,A20&lt;=Supuestos!$B$12),Supuestos!$B$11,0)</f>
        <v/>
      </c>
      <c r="F20" s="29">
        <f>IF(A20&gt;=Supuestos!$B$14,Supuestos!$B$13,0)</f>
        <v/>
      </c>
      <c r="G20" s="29">
        <f>B20+C20-D20-E20-F20</f>
        <v/>
      </c>
      <c r="H20" s="29">
        <f>M19</f>
        <v/>
      </c>
      <c r="I20" s="29">
        <f>MIN(U20,H20)</f>
        <v/>
      </c>
      <c r="J20" s="29">
        <f>(H20-I20)*Supuestos!$B$46</f>
        <v/>
      </c>
      <c r="K20" s="29">
        <f>IF(H20-I20&gt;0.01,MIN(Supuestos!$B$21,(H20-I20)*Supuestos!$B$20),0)</f>
        <v/>
      </c>
      <c r="L20" s="29">
        <f>MIN(MAX(G20-AA20,0),H20-I20)</f>
        <v/>
      </c>
      <c r="M20" s="29">
        <f>H20-I20-L20</f>
        <v/>
      </c>
      <c r="N20" s="29">
        <f>S19</f>
        <v/>
      </c>
      <c r="O20" s="29">
        <f>IF(A20=Supuestos!$B$5,0,N20*Supuestos!$B$47)</f>
        <v/>
      </c>
      <c r="P20" s="29">
        <f>IF(AND(A20&gt;Supuestos!$B$5,N20&gt;0.01),Supuestos!$B$26,0)</f>
        <v/>
      </c>
      <c r="Q20" s="29">
        <f>IF(A20=Supuestos!$B$5,0,MIN(Supuestos!$B$25,N20+O20))</f>
        <v/>
      </c>
      <c r="R20" s="29">
        <f>$B$4*MIN(MAX(G20-AA20-L20,0),N20+O20-Q20)</f>
        <v/>
      </c>
      <c r="S20" s="29">
        <f>N20+O20-Q20-R20</f>
        <v/>
      </c>
      <c r="T20" s="29">
        <f>Z19</f>
        <v/>
      </c>
      <c r="U20" s="29">
        <f>IF(A20=Supuestos!$B$5,$B$3*Supuestos!$B$28,0)</f>
        <v/>
      </c>
      <c r="V20" s="29">
        <f>T20*Supuestos!$B$48</f>
        <v/>
      </c>
      <c r="W20" s="29">
        <f>IF(T20&gt;0.01,Supuestos!$B$58,0)</f>
        <v/>
      </c>
      <c r="X20" s="29">
        <f>MIN(Supuestos!$B$57,T20+V20)</f>
        <v/>
      </c>
      <c r="Y20" s="29">
        <f>$B$5*MIN(MAX(G20-AA20-L20-R20,0),T20+V20-X20)</f>
        <v/>
      </c>
      <c r="Z20" s="29">
        <f>T20+U20+V20-X20-Y20</f>
        <v/>
      </c>
      <c r="AA20" s="29">
        <f>J20+K20+P20+Q20+W20+X20</f>
        <v/>
      </c>
      <c r="AB20" s="29">
        <f>G20-AA20-L20-R20-Y20+U20-I20</f>
        <v/>
      </c>
      <c r="AC20" s="29">
        <f>AC19+AB20</f>
        <v/>
      </c>
      <c r="AD20" s="29">
        <f>M20+S20+Z20</f>
        <v/>
      </c>
      <c r="AE20" s="29">
        <f>J20+K20+O20+P20+V20+W20</f>
        <v/>
      </c>
      <c r="AF20" s="29">
        <f>AF19+AE20</f>
        <v/>
      </c>
      <c r="AG20" s="30">
        <f>IF(AD20&lt;0.01,1,0)</f>
        <v/>
      </c>
    </row>
    <row r="21">
      <c r="A21" s="27">
        <f>DATE(YEAR(A20),MONTH(A20)+1,1)</f>
        <v/>
      </c>
      <c r="B21" s="28">
        <f>IF(A21=Supuestos!$B$5,Supuestos!$B$7,Supuestos!$B$6)</f>
        <v/>
      </c>
      <c r="C21" s="29">
        <f>IF(A21=Supuestos!$B$16,Supuestos!$B$15,0)</f>
        <v/>
      </c>
      <c r="D21" s="28">
        <f>IF(A21=Supuestos!$B$5,Supuestos!$B$8,Supuestos!$B$43)</f>
        <v/>
      </c>
      <c r="E21" s="29">
        <f>IF(AND(A21&gt;Supuestos!$B$5,A21&lt;=Supuestos!$B$12),Supuestos!$B$11,0)</f>
        <v/>
      </c>
      <c r="F21" s="29">
        <f>IF(A21&gt;=Supuestos!$B$14,Supuestos!$B$13,0)</f>
        <v/>
      </c>
      <c r="G21" s="29">
        <f>B21+C21-D21-E21-F21</f>
        <v/>
      </c>
      <c r="H21" s="29">
        <f>M20</f>
        <v/>
      </c>
      <c r="I21" s="29">
        <f>MIN(U21,H21)</f>
        <v/>
      </c>
      <c r="J21" s="29">
        <f>(H21-I21)*Supuestos!$B$46</f>
        <v/>
      </c>
      <c r="K21" s="29">
        <f>IF(H21-I21&gt;0.01,MIN(Supuestos!$B$21,(H21-I21)*Supuestos!$B$20),0)</f>
        <v/>
      </c>
      <c r="L21" s="29">
        <f>MIN(MAX(G21-AA21,0),H21-I21)</f>
        <v/>
      </c>
      <c r="M21" s="29">
        <f>H21-I21-L21</f>
        <v/>
      </c>
      <c r="N21" s="29">
        <f>S20</f>
        <v/>
      </c>
      <c r="O21" s="29">
        <f>IF(A21=Supuestos!$B$5,0,N21*Supuestos!$B$47)</f>
        <v/>
      </c>
      <c r="P21" s="29">
        <f>IF(AND(A21&gt;Supuestos!$B$5,N21&gt;0.01),Supuestos!$B$26,0)</f>
        <v/>
      </c>
      <c r="Q21" s="29">
        <f>IF(A21=Supuestos!$B$5,0,MIN(Supuestos!$B$25,N21+O21))</f>
        <v/>
      </c>
      <c r="R21" s="29">
        <f>$B$4*MIN(MAX(G21-AA21-L21,0),N21+O21-Q21)</f>
        <v/>
      </c>
      <c r="S21" s="29">
        <f>N21+O21-Q21-R21</f>
        <v/>
      </c>
      <c r="T21" s="29">
        <f>Z20</f>
        <v/>
      </c>
      <c r="U21" s="29">
        <f>IF(A21=Supuestos!$B$5,$B$3*Supuestos!$B$28,0)</f>
        <v/>
      </c>
      <c r="V21" s="29">
        <f>T21*Supuestos!$B$48</f>
        <v/>
      </c>
      <c r="W21" s="29">
        <f>IF(T21&gt;0.01,Supuestos!$B$58,0)</f>
        <v/>
      </c>
      <c r="X21" s="29">
        <f>MIN(Supuestos!$B$57,T21+V21)</f>
        <v/>
      </c>
      <c r="Y21" s="29">
        <f>$B$5*MIN(MAX(G21-AA21-L21-R21,0),T21+V21-X21)</f>
        <v/>
      </c>
      <c r="Z21" s="29">
        <f>T21+U21+V21-X21-Y21</f>
        <v/>
      </c>
      <c r="AA21" s="29">
        <f>J21+K21+P21+Q21+W21+X21</f>
        <v/>
      </c>
      <c r="AB21" s="29">
        <f>G21-AA21-L21-R21-Y21+U21-I21</f>
        <v/>
      </c>
      <c r="AC21" s="29">
        <f>AC20+AB21</f>
        <v/>
      </c>
      <c r="AD21" s="29">
        <f>M21+S21+Z21</f>
        <v/>
      </c>
      <c r="AE21" s="29">
        <f>J21+K21+O21+P21+V21+W21</f>
        <v/>
      </c>
      <c r="AF21" s="29">
        <f>AF20+AE21</f>
        <v/>
      </c>
      <c r="AG21" s="30">
        <f>IF(AD21&lt;0.01,1,0)</f>
        <v/>
      </c>
    </row>
    <row r="22">
      <c r="A22" s="27">
        <f>DATE(YEAR(A21),MONTH(A21)+1,1)</f>
        <v/>
      </c>
      <c r="B22" s="28">
        <f>IF(A22=Supuestos!$B$5,Supuestos!$B$7,Supuestos!$B$6)</f>
        <v/>
      </c>
      <c r="C22" s="29">
        <f>IF(A22=Supuestos!$B$16,Supuestos!$B$15,0)</f>
        <v/>
      </c>
      <c r="D22" s="28">
        <f>IF(A22=Supuestos!$B$5,Supuestos!$B$8,Supuestos!$B$43)</f>
        <v/>
      </c>
      <c r="E22" s="29">
        <f>IF(AND(A22&gt;Supuestos!$B$5,A22&lt;=Supuestos!$B$12),Supuestos!$B$11,0)</f>
        <v/>
      </c>
      <c r="F22" s="29">
        <f>IF(A22&gt;=Supuestos!$B$14,Supuestos!$B$13,0)</f>
        <v/>
      </c>
      <c r="G22" s="29">
        <f>B22+C22-D22-E22-F22</f>
        <v/>
      </c>
      <c r="H22" s="29">
        <f>M21</f>
        <v/>
      </c>
      <c r="I22" s="29">
        <f>MIN(U22,H22)</f>
        <v/>
      </c>
      <c r="J22" s="29">
        <f>(H22-I22)*Supuestos!$B$46</f>
        <v/>
      </c>
      <c r="K22" s="29">
        <f>IF(H22-I22&gt;0.01,MIN(Supuestos!$B$21,(H22-I22)*Supuestos!$B$20),0)</f>
        <v/>
      </c>
      <c r="L22" s="29">
        <f>MIN(MAX(G22-AA22,0),H22-I22)</f>
        <v/>
      </c>
      <c r="M22" s="29">
        <f>H22-I22-L22</f>
        <v/>
      </c>
      <c r="N22" s="29">
        <f>S21</f>
        <v/>
      </c>
      <c r="O22" s="29">
        <f>IF(A22=Supuestos!$B$5,0,N22*Supuestos!$B$47)</f>
        <v/>
      </c>
      <c r="P22" s="29">
        <f>IF(AND(A22&gt;Supuestos!$B$5,N22&gt;0.01),Supuestos!$B$26,0)</f>
        <v/>
      </c>
      <c r="Q22" s="29">
        <f>IF(A22=Supuestos!$B$5,0,MIN(Supuestos!$B$25,N22+O22))</f>
        <v/>
      </c>
      <c r="R22" s="29">
        <f>$B$4*MIN(MAX(G22-AA22-L22,0),N22+O22-Q22)</f>
        <v/>
      </c>
      <c r="S22" s="29">
        <f>N22+O22-Q22-R22</f>
        <v/>
      </c>
      <c r="T22" s="29">
        <f>Z21</f>
        <v/>
      </c>
      <c r="U22" s="29">
        <f>IF(A22=Supuestos!$B$5,$B$3*Supuestos!$B$28,0)</f>
        <v/>
      </c>
      <c r="V22" s="29">
        <f>T22*Supuestos!$B$48</f>
        <v/>
      </c>
      <c r="W22" s="29">
        <f>IF(T22&gt;0.01,Supuestos!$B$58,0)</f>
        <v/>
      </c>
      <c r="X22" s="29">
        <f>MIN(Supuestos!$B$57,T22+V22)</f>
        <v/>
      </c>
      <c r="Y22" s="29">
        <f>$B$5*MIN(MAX(G22-AA22-L22-R22,0),T22+V22-X22)</f>
        <v/>
      </c>
      <c r="Z22" s="29">
        <f>T22+U22+V22-X22-Y22</f>
        <v/>
      </c>
      <c r="AA22" s="29">
        <f>J22+K22+P22+Q22+W22+X22</f>
        <v/>
      </c>
      <c r="AB22" s="29">
        <f>G22-AA22-L22-R22-Y22+U22-I22</f>
        <v/>
      </c>
      <c r="AC22" s="29">
        <f>AC21+AB22</f>
        <v/>
      </c>
      <c r="AD22" s="29">
        <f>M22+S22+Z22</f>
        <v/>
      </c>
      <c r="AE22" s="29">
        <f>J22+K22+O22+P22+V22+W22</f>
        <v/>
      </c>
      <c r="AF22" s="29">
        <f>AF21+AE22</f>
        <v/>
      </c>
      <c r="AG22" s="30">
        <f>IF(AD22&lt;0.01,1,0)</f>
        <v/>
      </c>
    </row>
    <row r="23">
      <c r="A23" s="27">
        <f>DATE(YEAR(A22),MONTH(A22)+1,1)</f>
        <v/>
      </c>
      <c r="B23" s="28">
        <f>IF(A23=Supuestos!$B$5,Supuestos!$B$7,Supuestos!$B$6)</f>
        <v/>
      </c>
      <c r="C23" s="29">
        <f>IF(A23=Supuestos!$B$16,Supuestos!$B$15,0)</f>
        <v/>
      </c>
      <c r="D23" s="28">
        <f>IF(A23=Supuestos!$B$5,Supuestos!$B$8,Supuestos!$B$43)</f>
        <v/>
      </c>
      <c r="E23" s="29">
        <f>IF(AND(A23&gt;Supuestos!$B$5,A23&lt;=Supuestos!$B$12),Supuestos!$B$11,0)</f>
        <v/>
      </c>
      <c r="F23" s="29">
        <f>IF(A23&gt;=Supuestos!$B$14,Supuestos!$B$13,0)</f>
        <v/>
      </c>
      <c r="G23" s="29">
        <f>B23+C23-D23-E23-F23</f>
        <v/>
      </c>
      <c r="H23" s="29">
        <f>M22</f>
        <v/>
      </c>
      <c r="I23" s="29">
        <f>MIN(U23,H23)</f>
        <v/>
      </c>
      <c r="J23" s="29">
        <f>(H23-I23)*Supuestos!$B$46</f>
        <v/>
      </c>
      <c r="K23" s="29">
        <f>IF(H23-I23&gt;0.01,MIN(Supuestos!$B$21,(H23-I23)*Supuestos!$B$20),0)</f>
        <v/>
      </c>
      <c r="L23" s="29">
        <f>MIN(MAX(G23-AA23,0),H23-I23)</f>
        <v/>
      </c>
      <c r="M23" s="29">
        <f>H23-I23-L23</f>
        <v/>
      </c>
      <c r="N23" s="29">
        <f>S22</f>
        <v/>
      </c>
      <c r="O23" s="29">
        <f>IF(A23=Supuestos!$B$5,0,N23*Supuestos!$B$47)</f>
        <v/>
      </c>
      <c r="P23" s="29">
        <f>IF(AND(A23&gt;Supuestos!$B$5,N23&gt;0.01),Supuestos!$B$26,0)</f>
        <v/>
      </c>
      <c r="Q23" s="29">
        <f>IF(A23=Supuestos!$B$5,0,MIN(Supuestos!$B$25,N23+O23))</f>
        <v/>
      </c>
      <c r="R23" s="29">
        <f>$B$4*MIN(MAX(G23-AA23-L23,0),N23+O23-Q23)</f>
        <v/>
      </c>
      <c r="S23" s="29">
        <f>N23+O23-Q23-R23</f>
        <v/>
      </c>
      <c r="T23" s="29">
        <f>Z22</f>
        <v/>
      </c>
      <c r="U23" s="29">
        <f>IF(A23=Supuestos!$B$5,$B$3*Supuestos!$B$28,0)</f>
        <v/>
      </c>
      <c r="V23" s="29">
        <f>T23*Supuestos!$B$48</f>
        <v/>
      </c>
      <c r="W23" s="29">
        <f>IF(T23&gt;0.01,Supuestos!$B$58,0)</f>
        <v/>
      </c>
      <c r="X23" s="29">
        <f>MIN(Supuestos!$B$57,T23+V23)</f>
        <v/>
      </c>
      <c r="Y23" s="29">
        <f>$B$5*MIN(MAX(G23-AA23-L23-R23,0),T23+V23-X23)</f>
        <v/>
      </c>
      <c r="Z23" s="29">
        <f>T23+U23+V23-X23-Y23</f>
        <v/>
      </c>
      <c r="AA23" s="29">
        <f>J23+K23+P23+Q23+W23+X23</f>
        <v/>
      </c>
      <c r="AB23" s="29">
        <f>G23-AA23-L23-R23-Y23+U23-I23</f>
        <v/>
      </c>
      <c r="AC23" s="29">
        <f>AC22+AB23</f>
        <v/>
      </c>
      <c r="AD23" s="29">
        <f>M23+S23+Z23</f>
        <v/>
      </c>
      <c r="AE23" s="29">
        <f>J23+K23+O23+P23+V23+W23</f>
        <v/>
      </c>
      <c r="AF23" s="29">
        <f>AF22+AE23</f>
        <v/>
      </c>
      <c r="AG23" s="30">
        <f>IF(AD23&lt;0.01,1,0)</f>
        <v/>
      </c>
    </row>
    <row r="24">
      <c r="A24" s="27">
        <f>DATE(YEAR(A23),MONTH(A23)+1,1)</f>
        <v/>
      </c>
      <c r="B24" s="28">
        <f>IF(A24=Supuestos!$B$5,Supuestos!$B$7,Supuestos!$B$6)</f>
        <v/>
      </c>
      <c r="C24" s="29">
        <f>IF(A24=Supuestos!$B$16,Supuestos!$B$15,0)</f>
        <v/>
      </c>
      <c r="D24" s="28">
        <f>IF(A24=Supuestos!$B$5,Supuestos!$B$8,Supuestos!$B$43)</f>
        <v/>
      </c>
      <c r="E24" s="29">
        <f>IF(AND(A24&gt;Supuestos!$B$5,A24&lt;=Supuestos!$B$12),Supuestos!$B$11,0)</f>
        <v/>
      </c>
      <c r="F24" s="29">
        <f>IF(A24&gt;=Supuestos!$B$14,Supuestos!$B$13,0)</f>
        <v/>
      </c>
      <c r="G24" s="29">
        <f>B24+C24-D24-E24-F24</f>
        <v/>
      </c>
      <c r="H24" s="29">
        <f>M23</f>
        <v/>
      </c>
      <c r="I24" s="29">
        <f>MIN(U24,H24)</f>
        <v/>
      </c>
      <c r="J24" s="29">
        <f>(H24-I24)*Supuestos!$B$46</f>
        <v/>
      </c>
      <c r="K24" s="29">
        <f>IF(H24-I24&gt;0.01,MIN(Supuestos!$B$21,(H24-I24)*Supuestos!$B$20),0)</f>
        <v/>
      </c>
      <c r="L24" s="29">
        <f>MIN(MAX(G24-AA24,0),H24-I24)</f>
        <v/>
      </c>
      <c r="M24" s="29">
        <f>H24-I24-L24</f>
        <v/>
      </c>
      <c r="N24" s="29">
        <f>S23</f>
        <v/>
      </c>
      <c r="O24" s="29">
        <f>IF(A24=Supuestos!$B$5,0,N24*Supuestos!$B$47)</f>
        <v/>
      </c>
      <c r="P24" s="29">
        <f>IF(AND(A24&gt;Supuestos!$B$5,N24&gt;0.01),Supuestos!$B$26,0)</f>
        <v/>
      </c>
      <c r="Q24" s="29">
        <f>IF(A24=Supuestos!$B$5,0,MIN(Supuestos!$B$25,N24+O24))</f>
        <v/>
      </c>
      <c r="R24" s="29">
        <f>$B$4*MIN(MAX(G24-AA24-L24,0),N24+O24-Q24)</f>
        <v/>
      </c>
      <c r="S24" s="29">
        <f>N24+O24-Q24-R24</f>
        <v/>
      </c>
      <c r="T24" s="29">
        <f>Z23</f>
        <v/>
      </c>
      <c r="U24" s="29">
        <f>IF(A24=Supuestos!$B$5,$B$3*Supuestos!$B$28,0)</f>
        <v/>
      </c>
      <c r="V24" s="29">
        <f>T24*Supuestos!$B$48</f>
        <v/>
      </c>
      <c r="W24" s="29">
        <f>IF(T24&gt;0.01,Supuestos!$B$58,0)</f>
        <v/>
      </c>
      <c r="X24" s="29">
        <f>MIN(Supuestos!$B$57,T24+V24)</f>
        <v/>
      </c>
      <c r="Y24" s="29">
        <f>$B$5*MIN(MAX(G24-AA24-L24-R24,0),T24+V24-X24)</f>
        <v/>
      </c>
      <c r="Z24" s="29">
        <f>T24+U24+V24-X24-Y24</f>
        <v/>
      </c>
      <c r="AA24" s="29">
        <f>J24+K24+P24+Q24+W24+X24</f>
        <v/>
      </c>
      <c r="AB24" s="29">
        <f>G24-AA24-L24-R24-Y24+U24-I24</f>
        <v/>
      </c>
      <c r="AC24" s="29">
        <f>AC23+AB24</f>
        <v/>
      </c>
      <c r="AD24" s="29">
        <f>M24+S24+Z24</f>
        <v/>
      </c>
      <c r="AE24" s="29">
        <f>J24+K24+O24+P24+V24+W24</f>
        <v/>
      </c>
      <c r="AF24" s="29">
        <f>AF23+AE24</f>
        <v/>
      </c>
      <c r="AG24" s="30">
        <f>IF(AD24&lt;0.01,1,0)</f>
        <v/>
      </c>
    </row>
    <row r="25">
      <c r="A25" s="27">
        <f>DATE(YEAR(A24),MONTH(A24)+1,1)</f>
        <v/>
      </c>
      <c r="B25" s="28">
        <f>IF(A25=Supuestos!$B$5,Supuestos!$B$7,Supuestos!$B$6)</f>
        <v/>
      </c>
      <c r="C25" s="29">
        <f>IF(A25=Supuestos!$B$16,Supuestos!$B$15,0)</f>
        <v/>
      </c>
      <c r="D25" s="28">
        <f>IF(A25=Supuestos!$B$5,Supuestos!$B$8,Supuestos!$B$43)</f>
        <v/>
      </c>
      <c r="E25" s="29">
        <f>IF(AND(A25&gt;Supuestos!$B$5,A25&lt;=Supuestos!$B$12),Supuestos!$B$11,0)</f>
        <v/>
      </c>
      <c r="F25" s="29">
        <f>IF(A25&gt;=Supuestos!$B$14,Supuestos!$B$13,0)</f>
        <v/>
      </c>
      <c r="G25" s="29">
        <f>B25+C25-D25-E25-F25</f>
        <v/>
      </c>
      <c r="H25" s="29">
        <f>M24</f>
        <v/>
      </c>
      <c r="I25" s="29">
        <f>MIN(U25,H25)</f>
        <v/>
      </c>
      <c r="J25" s="29">
        <f>(H25-I25)*Supuestos!$B$46</f>
        <v/>
      </c>
      <c r="K25" s="29">
        <f>IF(H25-I25&gt;0.01,MIN(Supuestos!$B$21,(H25-I25)*Supuestos!$B$20),0)</f>
        <v/>
      </c>
      <c r="L25" s="29">
        <f>MIN(MAX(G25-AA25,0),H25-I25)</f>
        <v/>
      </c>
      <c r="M25" s="29">
        <f>H25-I25-L25</f>
        <v/>
      </c>
      <c r="N25" s="29">
        <f>S24</f>
        <v/>
      </c>
      <c r="O25" s="29">
        <f>IF(A25=Supuestos!$B$5,0,N25*Supuestos!$B$47)</f>
        <v/>
      </c>
      <c r="P25" s="29">
        <f>IF(AND(A25&gt;Supuestos!$B$5,N25&gt;0.01),Supuestos!$B$26,0)</f>
        <v/>
      </c>
      <c r="Q25" s="29">
        <f>IF(A25=Supuestos!$B$5,0,MIN(Supuestos!$B$25,N25+O25))</f>
        <v/>
      </c>
      <c r="R25" s="29">
        <f>$B$4*MIN(MAX(G25-AA25-L25,0),N25+O25-Q25)</f>
        <v/>
      </c>
      <c r="S25" s="29">
        <f>N25+O25-Q25-R25</f>
        <v/>
      </c>
      <c r="T25" s="29">
        <f>Z24</f>
        <v/>
      </c>
      <c r="U25" s="29">
        <f>IF(A25=Supuestos!$B$5,$B$3*Supuestos!$B$28,0)</f>
        <v/>
      </c>
      <c r="V25" s="29">
        <f>T25*Supuestos!$B$48</f>
        <v/>
      </c>
      <c r="W25" s="29">
        <f>IF(T25&gt;0.01,Supuestos!$B$58,0)</f>
        <v/>
      </c>
      <c r="X25" s="29">
        <f>MIN(Supuestos!$B$57,T25+V25)</f>
        <v/>
      </c>
      <c r="Y25" s="29">
        <f>$B$5*MIN(MAX(G25-AA25-L25-R25,0),T25+V25-X25)</f>
        <v/>
      </c>
      <c r="Z25" s="29">
        <f>T25+U25+V25-X25-Y25</f>
        <v/>
      </c>
      <c r="AA25" s="29">
        <f>J25+K25+P25+Q25+W25+X25</f>
        <v/>
      </c>
      <c r="AB25" s="29">
        <f>G25-AA25-L25-R25-Y25+U25-I25</f>
        <v/>
      </c>
      <c r="AC25" s="29">
        <f>AC24+AB25</f>
        <v/>
      </c>
      <c r="AD25" s="29">
        <f>M25+S25+Z25</f>
        <v/>
      </c>
      <c r="AE25" s="29">
        <f>J25+K25+O25+P25+V25+W25</f>
        <v/>
      </c>
      <c r="AF25" s="29">
        <f>AF24+AE25</f>
        <v/>
      </c>
      <c r="AG25" s="30">
        <f>IF(AD25&lt;0.01,1,0)</f>
        <v/>
      </c>
    </row>
    <row r="26">
      <c r="A26" s="27">
        <f>DATE(YEAR(A25),MONTH(A25)+1,1)</f>
        <v/>
      </c>
      <c r="B26" s="28">
        <f>IF(A26=Supuestos!$B$5,Supuestos!$B$7,Supuestos!$B$6)</f>
        <v/>
      </c>
      <c r="C26" s="29">
        <f>IF(A26=Supuestos!$B$16,Supuestos!$B$15,0)</f>
        <v/>
      </c>
      <c r="D26" s="28">
        <f>IF(A26=Supuestos!$B$5,Supuestos!$B$8,Supuestos!$B$43)</f>
        <v/>
      </c>
      <c r="E26" s="29">
        <f>IF(AND(A26&gt;Supuestos!$B$5,A26&lt;=Supuestos!$B$12),Supuestos!$B$11,0)</f>
        <v/>
      </c>
      <c r="F26" s="29">
        <f>IF(A26&gt;=Supuestos!$B$14,Supuestos!$B$13,0)</f>
        <v/>
      </c>
      <c r="G26" s="29">
        <f>B26+C26-D26-E26-F26</f>
        <v/>
      </c>
      <c r="H26" s="29">
        <f>M25</f>
        <v/>
      </c>
      <c r="I26" s="29">
        <f>MIN(U26,H26)</f>
        <v/>
      </c>
      <c r="J26" s="29">
        <f>(H26-I26)*Supuestos!$B$46</f>
        <v/>
      </c>
      <c r="K26" s="29">
        <f>IF(H26-I26&gt;0.01,MIN(Supuestos!$B$21,(H26-I26)*Supuestos!$B$20),0)</f>
        <v/>
      </c>
      <c r="L26" s="29">
        <f>MIN(MAX(G26-AA26,0),H26-I26)</f>
        <v/>
      </c>
      <c r="M26" s="29">
        <f>H26-I26-L26</f>
        <v/>
      </c>
      <c r="N26" s="29">
        <f>S25</f>
        <v/>
      </c>
      <c r="O26" s="29">
        <f>IF(A26=Supuestos!$B$5,0,N26*Supuestos!$B$47)</f>
        <v/>
      </c>
      <c r="P26" s="29">
        <f>IF(AND(A26&gt;Supuestos!$B$5,N26&gt;0.01),Supuestos!$B$26,0)</f>
        <v/>
      </c>
      <c r="Q26" s="29">
        <f>IF(A26=Supuestos!$B$5,0,MIN(Supuestos!$B$25,N26+O26))</f>
        <v/>
      </c>
      <c r="R26" s="29">
        <f>$B$4*MIN(MAX(G26-AA26-L26,0),N26+O26-Q26)</f>
        <v/>
      </c>
      <c r="S26" s="29">
        <f>N26+O26-Q26-R26</f>
        <v/>
      </c>
      <c r="T26" s="29">
        <f>Z25</f>
        <v/>
      </c>
      <c r="U26" s="29">
        <f>IF(A26=Supuestos!$B$5,$B$3*Supuestos!$B$28,0)</f>
        <v/>
      </c>
      <c r="V26" s="29">
        <f>T26*Supuestos!$B$48</f>
        <v/>
      </c>
      <c r="W26" s="29">
        <f>IF(T26&gt;0.01,Supuestos!$B$58,0)</f>
        <v/>
      </c>
      <c r="X26" s="29">
        <f>MIN(Supuestos!$B$57,T26+V26)</f>
        <v/>
      </c>
      <c r="Y26" s="29">
        <f>$B$5*MIN(MAX(G26-AA26-L26-R26,0),T26+V26-X26)</f>
        <v/>
      </c>
      <c r="Z26" s="29">
        <f>T26+U26+V26-X26-Y26</f>
        <v/>
      </c>
      <c r="AA26" s="29">
        <f>J26+K26+P26+Q26+W26+X26</f>
        <v/>
      </c>
      <c r="AB26" s="29">
        <f>G26-AA26-L26-R26-Y26+U26-I26</f>
        <v/>
      </c>
      <c r="AC26" s="29">
        <f>AC25+AB26</f>
        <v/>
      </c>
      <c r="AD26" s="29">
        <f>M26+S26+Z26</f>
        <v/>
      </c>
      <c r="AE26" s="29">
        <f>J26+K26+O26+P26+V26+W26</f>
        <v/>
      </c>
      <c r="AF26" s="29">
        <f>AF25+AE26</f>
        <v/>
      </c>
      <c r="AG26" s="30">
        <f>IF(AD26&lt;0.01,1,0)</f>
        <v/>
      </c>
    </row>
    <row r="27">
      <c r="A27" s="27">
        <f>DATE(YEAR(A26),MONTH(A26)+1,1)</f>
        <v/>
      </c>
      <c r="B27" s="28">
        <f>IF(A27=Supuestos!$B$5,Supuestos!$B$7,Supuestos!$B$6)</f>
        <v/>
      </c>
      <c r="C27" s="29">
        <f>IF(A27=Supuestos!$B$16,Supuestos!$B$15,0)</f>
        <v/>
      </c>
      <c r="D27" s="28">
        <f>IF(A27=Supuestos!$B$5,Supuestos!$B$8,Supuestos!$B$43)</f>
        <v/>
      </c>
      <c r="E27" s="29">
        <f>IF(AND(A27&gt;Supuestos!$B$5,A27&lt;=Supuestos!$B$12),Supuestos!$B$11,0)</f>
        <v/>
      </c>
      <c r="F27" s="29">
        <f>IF(A27&gt;=Supuestos!$B$14,Supuestos!$B$13,0)</f>
        <v/>
      </c>
      <c r="G27" s="29">
        <f>B27+C27-D27-E27-F27</f>
        <v/>
      </c>
      <c r="H27" s="29">
        <f>M26</f>
        <v/>
      </c>
      <c r="I27" s="29">
        <f>MIN(U27,H27)</f>
        <v/>
      </c>
      <c r="J27" s="29">
        <f>(H27-I27)*Supuestos!$B$46</f>
        <v/>
      </c>
      <c r="K27" s="29">
        <f>IF(H27-I27&gt;0.01,MIN(Supuestos!$B$21,(H27-I27)*Supuestos!$B$20),0)</f>
        <v/>
      </c>
      <c r="L27" s="29">
        <f>MIN(MAX(G27-AA27,0),H27-I27)</f>
        <v/>
      </c>
      <c r="M27" s="29">
        <f>H27-I27-L27</f>
        <v/>
      </c>
      <c r="N27" s="29">
        <f>S26</f>
        <v/>
      </c>
      <c r="O27" s="29">
        <f>IF(A27=Supuestos!$B$5,0,N27*Supuestos!$B$47)</f>
        <v/>
      </c>
      <c r="P27" s="29">
        <f>IF(AND(A27&gt;Supuestos!$B$5,N27&gt;0.01),Supuestos!$B$26,0)</f>
        <v/>
      </c>
      <c r="Q27" s="29">
        <f>IF(A27=Supuestos!$B$5,0,MIN(Supuestos!$B$25,N27+O27))</f>
        <v/>
      </c>
      <c r="R27" s="29">
        <f>$B$4*MIN(MAX(G27-AA27-L27,0),N27+O27-Q27)</f>
        <v/>
      </c>
      <c r="S27" s="29">
        <f>N27+O27-Q27-R27</f>
        <v/>
      </c>
      <c r="T27" s="29">
        <f>Z26</f>
        <v/>
      </c>
      <c r="U27" s="29">
        <f>IF(A27=Supuestos!$B$5,$B$3*Supuestos!$B$28,0)</f>
        <v/>
      </c>
      <c r="V27" s="29">
        <f>T27*Supuestos!$B$48</f>
        <v/>
      </c>
      <c r="W27" s="29">
        <f>IF(T27&gt;0.01,Supuestos!$B$58,0)</f>
        <v/>
      </c>
      <c r="X27" s="29">
        <f>MIN(Supuestos!$B$57,T27+V27)</f>
        <v/>
      </c>
      <c r="Y27" s="29">
        <f>$B$5*MIN(MAX(G27-AA27-L27-R27,0),T27+V27-X27)</f>
        <v/>
      </c>
      <c r="Z27" s="29">
        <f>T27+U27+V27-X27-Y27</f>
        <v/>
      </c>
      <c r="AA27" s="29">
        <f>J27+K27+P27+Q27+W27+X27</f>
        <v/>
      </c>
      <c r="AB27" s="29">
        <f>G27-AA27-L27-R27-Y27+U27-I27</f>
        <v/>
      </c>
      <c r="AC27" s="29">
        <f>AC26+AB27</f>
        <v/>
      </c>
      <c r="AD27" s="29">
        <f>M27+S27+Z27</f>
        <v/>
      </c>
      <c r="AE27" s="29">
        <f>J27+K27+O27+P27+V27+W27</f>
        <v/>
      </c>
      <c r="AF27" s="29">
        <f>AF26+AE27</f>
        <v/>
      </c>
      <c r="AG27" s="30">
        <f>IF(AD27&lt;0.01,1,0)</f>
        <v/>
      </c>
    </row>
    <row r="28">
      <c r="A28" s="27">
        <f>DATE(YEAR(A27),MONTH(A27)+1,1)</f>
        <v/>
      </c>
      <c r="B28" s="28">
        <f>IF(A28=Supuestos!$B$5,Supuestos!$B$7,Supuestos!$B$6)</f>
        <v/>
      </c>
      <c r="C28" s="29">
        <f>IF(A28=Supuestos!$B$16,Supuestos!$B$15,0)</f>
        <v/>
      </c>
      <c r="D28" s="28">
        <f>IF(A28=Supuestos!$B$5,Supuestos!$B$8,Supuestos!$B$43)</f>
        <v/>
      </c>
      <c r="E28" s="29">
        <f>IF(AND(A28&gt;Supuestos!$B$5,A28&lt;=Supuestos!$B$12),Supuestos!$B$11,0)</f>
        <v/>
      </c>
      <c r="F28" s="29">
        <f>IF(A28&gt;=Supuestos!$B$14,Supuestos!$B$13,0)</f>
        <v/>
      </c>
      <c r="G28" s="29">
        <f>B28+C28-D28-E28-F28</f>
        <v/>
      </c>
      <c r="H28" s="29">
        <f>M27</f>
        <v/>
      </c>
      <c r="I28" s="29">
        <f>MIN(U28,H28)</f>
        <v/>
      </c>
      <c r="J28" s="29">
        <f>(H28-I28)*Supuestos!$B$46</f>
        <v/>
      </c>
      <c r="K28" s="29">
        <f>IF(H28-I28&gt;0.01,MIN(Supuestos!$B$21,(H28-I28)*Supuestos!$B$20),0)</f>
        <v/>
      </c>
      <c r="L28" s="29">
        <f>MIN(MAX(G28-AA28,0),H28-I28)</f>
        <v/>
      </c>
      <c r="M28" s="29">
        <f>H28-I28-L28</f>
        <v/>
      </c>
      <c r="N28" s="29">
        <f>S27</f>
        <v/>
      </c>
      <c r="O28" s="29">
        <f>IF(A28=Supuestos!$B$5,0,N28*Supuestos!$B$47)</f>
        <v/>
      </c>
      <c r="P28" s="29">
        <f>IF(AND(A28&gt;Supuestos!$B$5,N28&gt;0.01),Supuestos!$B$26,0)</f>
        <v/>
      </c>
      <c r="Q28" s="29">
        <f>IF(A28=Supuestos!$B$5,0,MIN(Supuestos!$B$25,N28+O28))</f>
        <v/>
      </c>
      <c r="R28" s="29">
        <f>$B$4*MIN(MAX(G28-AA28-L28,0),N28+O28-Q28)</f>
        <v/>
      </c>
      <c r="S28" s="29">
        <f>N28+O28-Q28-R28</f>
        <v/>
      </c>
      <c r="T28" s="29">
        <f>Z27</f>
        <v/>
      </c>
      <c r="U28" s="29">
        <f>IF(A28=Supuestos!$B$5,$B$3*Supuestos!$B$28,0)</f>
        <v/>
      </c>
      <c r="V28" s="29">
        <f>T28*Supuestos!$B$48</f>
        <v/>
      </c>
      <c r="W28" s="29">
        <f>IF(T28&gt;0.01,Supuestos!$B$58,0)</f>
        <v/>
      </c>
      <c r="X28" s="29">
        <f>MIN(Supuestos!$B$57,T28+V28)</f>
        <v/>
      </c>
      <c r="Y28" s="29">
        <f>$B$5*MIN(MAX(G28-AA28-L28-R28,0),T28+V28-X28)</f>
        <v/>
      </c>
      <c r="Z28" s="29">
        <f>T28+U28+V28-X28-Y28</f>
        <v/>
      </c>
      <c r="AA28" s="29">
        <f>J28+K28+P28+Q28+W28+X28</f>
        <v/>
      </c>
      <c r="AB28" s="29">
        <f>G28-AA28-L28-R28-Y28+U28-I28</f>
        <v/>
      </c>
      <c r="AC28" s="29">
        <f>AC27+AB28</f>
        <v/>
      </c>
      <c r="AD28" s="29">
        <f>M28+S28+Z28</f>
        <v/>
      </c>
      <c r="AE28" s="29">
        <f>J28+K28+O28+P28+V28+W28</f>
        <v/>
      </c>
      <c r="AF28" s="29">
        <f>AF27+AE28</f>
        <v/>
      </c>
      <c r="AG28" s="30">
        <f>IF(AD28&lt;0.01,1,0)</f>
        <v/>
      </c>
    </row>
    <row r="29">
      <c r="A29" s="27">
        <f>DATE(YEAR(A28),MONTH(A28)+1,1)</f>
        <v/>
      </c>
      <c r="B29" s="28">
        <f>IF(A29=Supuestos!$B$5,Supuestos!$B$7,Supuestos!$B$6)</f>
        <v/>
      </c>
      <c r="C29" s="29">
        <f>IF(A29=Supuestos!$B$16,Supuestos!$B$15,0)</f>
        <v/>
      </c>
      <c r="D29" s="28">
        <f>IF(A29=Supuestos!$B$5,Supuestos!$B$8,Supuestos!$B$43)</f>
        <v/>
      </c>
      <c r="E29" s="29">
        <f>IF(AND(A29&gt;Supuestos!$B$5,A29&lt;=Supuestos!$B$12),Supuestos!$B$11,0)</f>
        <v/>
      </c>
      <c r="F29" s="29">
        <f>IF(A29&gt;=Supuestos!$B$14,Supuestos!$B$13,0)</f>
        <v/>
      </c>
      <c r="G29" s="29">
        <f>B29+C29-D29-E29-F29</f>
        <v/>
      </c>
      <c r="H29" s="29">
        <f>M28</f>
        <v/>
      </c>
      <c r="I29" s="29">
        <f>MIN(U29,H29)</f>
        <v/>
      </c>
      <c r="J29" s="29">
        <f>(H29-I29)*Supuestos!$B$46</f>
        <v/>
      </c>
      <c r="K29" s="29">
        <f>IF(H29-I29&gt;0.01,MIN(Supuestos!$B$21,(H29-I29)*Supuestos!$B$20),0)</f>
        <v/>
      </c>
      <c r="L29" s="29">
        <f>MIN(MAX(G29-AA29,0),H29-I29)</f>
        <v/>
      </c>
      <c r="M29" s="29">
        <f>H29-I29-L29</f>
        <v/>
      </c>
      <c r="N29" s="29">
        <f>S28</f>
        <v/>
      </c>
      <c r="O29" s="29">
        <f>IF(A29=Supuestos!$B$5,0,N29*Supuestos!$B$47)</f>
        <v/>
      </c>
      <c r="P29" s="29">
        <f>IF(AND(A29&gt;Supuestos!$B$5,N29&gt;0.01),Supuestos!$B$26,0)</f>
        <v/>
      </c>
      <c r="Q29" s="29">
        <f>IF(A29=Supuestos!$B$5,0,MIN(Supuestos!$B$25,N29+O29))</f>
        <v/>
      </c>
      <c r="R29" s="29">
        <f>$B$4*MIN(MAX(G29-AA29-L29,0),N29+O29-Q29)</f>
        <v/>
      </c>
      <c r="S29" s="29">
        <f>N29+O29-Q29-R29</f>
        <v/>
      </c>
      <c r="T29" s="29">
        <f>Z28</f>
        <v/>
      </c>
      <c r="U29" s="29">
        <f>IF(A29=Supuestos!$B$5,$B$3*Supuestos!$B$28,0)</f>
        <v/>
      </c>
      <c r="V29" s="29">
        <f>T29*Supuestos!$B$48</f>
        <v/>
      </c>
      <c r="W29" s="29">
        <f>IF(T29&gt;0.01,Supuestos!$B$58,0)</f>
        <v/>
      </c>
      <c r="X29" s="29">
        <f>MIN(Supuestos!$B$57,T29+V29)</f>
        <v/>
      </c>
      <c r="Y29" s="29">
        <f>$B$5*MIN(MAX(G29-AA29-L29-R29,0),T29+V29-X29)</f>
        <v/>
      </c>
      <c r="Z29" s="29">
        <f>T29+U29+V29-X29-Y29</f>
        <v/>
      </c>
      <c r="AA29" s="29">
        <f>J29+K29+P29+Q29+W29+X29</f>
        <v/>
      </c>
      <c r="AB29" s="29">
        <f>G29-AA29-L29-R29-Y29+U29-I29</f>
        <v/>
      </c>
      <c r="AC29" s="29">
        <f>AC28+AB29</f>
        <v/>
      </c>
      <c r="AD29" s="29">
        <f>M29+S29+Z29</f>
        <v/>
      </c>
      <c r="AE29" s="29">
        <f>J29+K29+O29+P29+V29+W29</f>
        <v/>
      </c>
      <c r="AF29" s="29">
        <f>AF28+AE29</f>
        <v/>
      </c>
      <c r="AG29" s="30">
        <f>IF(AD29&lt;0.01,1,0)</f>
        <v/>
      </c>
    </row>
    <row r="30">
      <c r="A30" s="27">
        <f>DATE(YEAR(A29),MONTH(A29)+1,1)</f>
        <v/>
      </c>
      <c r="B30" s="28">
        <f>IF(A30=Supuestos!$B$5,Supuestos!$B$7,Supuestos!$B$6)</f>
        <v/>
      </c>
      <c r="C30" s="29">
        <f>IF(A30=Supuestos!$B$16,Supuestos!$B$15,0)</f>
        <v/>
      </c>
      <c r="D30" s="28">
        <f>IF(A30=Supuestos!$B$5,Supuestos!$B$8,Supuestos!$B$43)</f>
        <v/>
      </c>
      <c r="E30" s="29">
        <f>IF(AND(A30&gt;Supuestos!$B$5,A30&lt;=Supuestos!$B$12),Supuestos!$B$11,0)</f>
        <v/>
      </c>
      <c r="F30" s="29">
        <f>IF(A30&gt;=Supuestos!$B$14,Supuestos!$B$13,0)</f>
        <v/>
      </c>
      <c r="G30" s="29">
        <f>B30+C30-D30-E30-F30</f>
        <v/>
      </c>
      <c r="H30" s="29">
        <f>M29</f>
        <v/>
      </c>
      <c r="I30" s="29">
        <f>MIN(U30,H30)</f>
        <v/>
      </c>
      <c r="J30" s="29">
        <f>(H30-I30)*Supuestos!$B$46</f>
        <v/>
      </c>
      <c r="K30" s="29">
        <f>IF(H30-I30&gt;0.01,MIN(Supuestos!$B$21,(H30-I30)*Supuestos!$B$20),0)</f>
        <v/>
      </c>
      <c r="L30" s="29">
        <f>MIN(MAX(G30-AA30,0),H30-I30)</f>
        <v/>
      </c>
      <c r="M30" s="29">
        <f>H30-I30-L30</f>
        <v/>
      </c>
      <c r="N30" s="29">
        <f>S29</f>
        <v/>
      </c>
      <c r="O30" s="29">
        <f>IF(A30=Supuestos!$B$5,0,N30*Supuestos!$B$47)</f>
        <v/>
      </c>
      <c r="P30" s="29">
        <f>IF(AND(A30&gt;Supuestos!$B$5,N30&gt;0.01),Supuestos!$B$26,0)</f>
        <v/>
      </c>
      <c r="Q30" s="29">
        <f>IF(A30=Supuestos!$B$5,0,MIN(Supuestos!$B$25,N30+O30))</f>
        <v/>
      </c>
      <c r="R30" s="29">
        <f>$B$4*MIN(MAX(G30-AA30-L30,0),N30+O30-Q30)</f>
        <v/>
      </c>
      <c r="S30" s="29">
        <f>N30+O30-Q30-R30</f>
        <v/>
      </c>
      <c r="T30" s="29">
        <f>Z29</f>
        <v/>
      </c>
      <c r="U30" s="29">
        <f>IF(A30=Supuestos!$B$5,$B$3*Supuestos!$B$28,0)</f>
        <v/>
      </c>
      <c r="V30" s="29">
        <f>T30*Supuestos!$B$48</f>
        <v/>
      </c>
      <c r="W30" s="29">
        <f>IF(T30&gt;0.01,Supuestos!$B$58,0)</f>
        <v/>
      </c>
      <c r="X30" s="29">
        <f>MIN(Supuestos!$B$57,T30+V30)</f>
        <v/>
      </c>
      <c r="Y30" s="29">
        <f>$B$5*MIN(MAX(G30-AA30-L30-R30,0),T30+V30-X30)</f>
        <v/>
      </c>
      <c r="Z30" s="29">
        <f>T30+U30+V30-X30-Y30</f>
        <v/>
      </c>
      <c r="AA30" s="29">
        <f>J30+K30+P30+Q30+W30+X30</f>
        <v/>
      </c>
      <c r="AB30" s="29">
        <f>G30-AA30-L30-R30-Y30+U30-I30</f>
        <v/>
      </c>
      <c r="AC30" s="29">
        <f>AC29+AB30</f>
        <v/>
      </c>
      <c r="AD30" s="29">
        <f>M30+S30+Z30</f>
        <v/>
      </c>
      <c r="AE30" s="29">
        <f>J30+K30+O30+P30+V30+W30</f>
        <v/>
      </c>
      <c r="AF30" s="29">
        <f>AF29+AE30</f>
        <v/>
      </c>
      <c r="AG30" s="30">
        <f>IF(AD30&lt;0.01,1,0)</f>
        <v/>
      </c>
    </row>
    <row r="31">
      <c r="A31" s="27">
        <f>DATE(YEAR(A30),MONTH(A30)+1,1)</f>
        <v/>
      </c>
      <c r="B31" s="28">
        <f>IF(A31=Supuestos!$B$5,Supuestos!$B$7,Supuestos!$B$6)</f>
        <v/>
      </c>
      <c r="C31" s="29">
        <f>IF(A31=Supuestos!$B$16,Supuestos!$B$15,0)</f>
        <v/>
      </c>
      <c r="D31" s="28">
        <f>IF(A31=Supuestos!$B$5,Supuestos!$B$8,Supuestos!$B$43)</f>
        <v/>
      </c>
      <c r="E31" s="29">
        <f>IF(AND(A31&gt;Supuestos!$B$5,A31&lt;=Supuestos!$B$12),Supuestos!$B$11,0)</f>
        <v/>
      </c>
      <c r="F31" s="29">
        <f>IF(A31&gt;=Supuestos!$B$14,Supuestos!$B$13,0)</f>
        <v/>
      </c>
      <c r="G31" s="29">
        <f>B31+C31-D31-E31-F31</f>
        <v/>
      </c>
      <c r="H31" s="29">
        <f>M30</f>
        <v/>
      </c>
      <c r="I31" s="29">
        <f>MIN(U31,H31)</f>
        <v/>
      </c>
      <c r="J31" s="29">
        <f>(H31-I31)*Supuestos!$B$46</f>
        <v/>
      </c>
      <c r="K31" s="29">
        <f>IF(H31-I31&gt;0.01,MIN(Supuestos!$B$21,(H31-I31)*Supuestos!$B$20),0)</f>
        <v/>
      </c>
      <c r="L31" s="29">
        <f>MIN(MAX(G31-AA31,0),H31-I31)</f>
        <v/>
      </c>
      <c r="M31" s="29">
        <f>H31-I31-L31</f>
        <v/>
      </c>
      <c r="N31" s="29">
        <f>S30</f>
        <v/>
      </c>
      <c r="O31" s="29">
        <f>IF(A31=Supuestos!$B$5,0,N31*Supuestos!$B$47)</f>
        <v/>
      </c>
      <c r="P31" s="29">
        <f>IF(AND(A31&gt;Supuestos!$B$5,N31&gt;0.01),Supuestos!$B$26,0)</f>
        <v/>
      </c>
      <c r="Q31" s="29">
        <f>IF(A31=Supuestos!$B$5,0,MIN(Supuestos!$B$25,N31+O31))</f>
        <v/>
      </c>
      <c r="R31" s="29">
        <f>$B$4*MIN(MAX(G31-AA31-L31,0),N31+O31-Q31)</f>
        <v/>
      </c>
      <c r="S31" s="29">
        <f>N31+O31-Q31-R31</f>
        <v/>
      </c>
      <c r="T31" s="29">
        <f>Z30</f>
        <v/>
      </c>
      <c r="U31" s="29">
        <f>IF(A31=Supuestos!$B$5,$B$3*Supuestos!$B$28,0)</f>
        <v/>
      </c>
      <c r="V31" s="29">
        <f>T31*Supuestos!$B$48</f>
        <v/>
      </c>
      <c r="W31" s="29">
        <f>IF(T31&gt;0.01,Supuestos!$B$58,0)</f>
        <v/>
      </c>
      <c r="X31" s="29">
        <f>MIN(Supuestos!$B$57,T31+V31)</f>
        <v/>
      </c>
      <c r="Y31" s="29">
        <f>$B$5*MIN(MAX(G31-AA31-L31-R31,0),T31+V31-X31)</f>
        <v/>
      </c>
      <c r="Z31" s="29">
        <f>T31+U31+V31-X31-Y31</f>
        <v/>
      </c>
      <c r="AA31" s="29">
        <f>J31+K31+P31+Q31+W31+X31</f>
        <v/>
      </c>
      <c r="AB31" s="29">
        <f>G31-AA31-L31-R31-Y31+U31-I31</f>
        <v/>
      </c>
      <c r="AC31" s="29">
        <f>AC30+AB31</f>
        <v/>
      </c>
      <c r="AD31" s="29">
        <f>M31+S31+Z31</f>
        <v/>
      </c>
      <c r="AE31" s="29">
        <f>J31+K31+O31+P31+V31+W31</f>
        <v/>
      </c>
      <c r="AF31" s="29">
        <f>AF30+AE31</f>
        <v/>
      </c>
      <c r="AG31" s="30">
        <f>IF(AD31&lt;0.01,1,0)</f>
        <v/>
      </c>
    </row>
    <row r="32">
      <c r="A32" s="27">
        <f>DATE(YEAR(A31),MONTH(A31)+1,1)</f>
        <v/>
      </c>
      <c r="B32" s="28">
        <f>IF(A32=Supuestos!$B$5,Supuestos!$B$7,Supuestos!$B$6)</f>
        <v/>
      </c>
      <c r="C32" s="29">
        <f>IF(A32=Supuestos!$B$16,Supuestos!$B$15,0)</f>
        <v/>
      </c>
      <c r="D32" s="28">
        <f>IF(A32=Supuestos!$B$5,Supuestos!$B$8,Supuestos!$B$43)</f>
        <v/>
      </c>
      <c r="E32" s="29">
        <f>IF(AND(A32&gt;Supuestos!$B$5,A32&lt;=Supuestos!$B$12),Supuestos!$B$11,0)</f>
        <v/>
      </c>
      <c r="F32" s="29">
        <f>IF(A32&gt;=Supuestos!$B$14,Supuestos!$B$13,0)</f>
        <v/>
      </c>
      <c r="G32" s="29">
        <f>B32+C32-D32-E32-F32</f>
        <v/>
      </c>
      <c r="H32" s="29">
        <f>M31</f>
        <v/>
      </c>
      <c r="I32" s="29">
        <f>MIN(U32,H32)</f>
        <v/>
      </c>
      <c r="J32" s="29">
        <f>(H32-I32)*Supuestos!$B$46</f>
        <v/>
      </c>
      <c r="K32" s="29">
        <f>IF(H32-I32&gt;0.01,MIN(Supuestos!$B$21,(H32-I32)*Supuestos!$B$20),0)</f>
        <v/>
      </c>
      <c r="L32" s="29">
        <f>MIN(MAX(G32-AA32,0),H32-I32)</f>
        <v/>
      </c>
      <c r="M32" s="29">
        <f>H32-I32-L32</f>
        <v/>
      </c>
      <c r="N32" s="29">
        <f>S31</f>
        <v/>
      </c>
      <c r="O32" s="29">
        <f>IF(A32=Supuestos!$B$5,0,N32*Supuestos!$B$47)</f>
        <v/>
      </c>
      <c r="P32" s="29">
        <f>IF(AND(A32&gt;Supuestos!$B$5,N32&gt;0.01),Supuestos!$B$26,0)</f>
        <v/>
      </c>
      <c r="Q32" s="29">
        <f>IF(A32=Supuestos!$B$5,0,MIN(Supuestos!$B$25,N32+O32))</f>
        <v/>
      </c>
      <c r="R32" s="29">
        <f>$B$4*MIN(MAX(G32-AA32-L32,0),N32+O32-Q32)</f>
        <v/>
      </c>
      <c r="S32" s="29">
        <f>N32+O32-Q32-R32</f>
        <v/>
      </c>
      <c r="T32" s="29">
        <f>Z31</f>
        <v/>
      </c>
      <c r="U32" s="29">
        <f>IF(A32=Supuestos!$B$5,$B$3*Supuestos!$B$28,0)</f>
        <v/>
      </c>
      <c r="V32" s="29">
        <f>T32*Supuestos!$B$48</f>
        <v/>
      </c>
      <c r="W32" s="29">
        <f>IF(T32&gt;0.01,Supuestos!$B$58,0)</f>
        <v/>
      </c>
      <c r="X32" s="29">
        <f>MIN(Supuestos!$B$57,T32+V32)</f>
        <v/>
      </c>
      <c r="Y32" s="29">
        <f>$B$5*MIN(MAX(G32-AA32-L32-R32,0),T32+V32-X32)</f>
        <v/>
      </c>
      <c r="Z32" s="29">
        <f>T32+U32+V32-X32-Y32</f>
        <v/>
      </c>
      <c r="AA32" s="29">
        <f>J32+K32+P32+Q32+W32+X32</f>
        <v/>
      </c>
      <c r="AB32" s="29">
        <f>G32-AA32-L32-R32-Y32+U32-I32</f>
        <v/>
      </c>
      <c r="AC32" s="29">
        <f>AC31+AB32</f>
        <v/>
      </c>
      <c r="AD32" s="29">
        <f>M32+S32+Z32</f>
        <v/>
      </c>
      <c r="AE32" s="29">
        <f>J32+K32+O32+P32+V32+W32</f>
        <v/>
      </c>
      <c r="AF32" s="29">
        <f>AF31+AE32</f>
        <v/>
      </c>
      <c r="AG32" s="30">
        <f>IF(AD32&lt;0.01,1,0)</f>
        <v/>
      </c>
    </row>
    <row r="33">
      <c r="A33" s="27">
        <f>DATE(YEAR(A32),MONTH(A32)+1,1)</f>
        <v/>
      </c>
      <c r="B33" s="28">
        <f>IF(A33=Supuestos!$B$5,Supuestos!$B$7,Supuestos!$B$6)</f>
        <v/>
      </c>
      <c r="C33" s="29">
        <f>IF(A33=Supuestos!$B$16,Supuestos!$B$15,0)</f>
        <v/>
      </c>
      <c r="D33" s="28">
        <f>IF(A33=Supuestos!$B$5,Supuestos!$B$8,Supuestos!$B$43)</f>
        <v/>
      </c>
      <c r="E33" s="29">
        <f>IF(AND(A33&gt;Supuestos!$B$5,A33&lt;=Supuestos!$B$12),Supuestos!$B$11,0)</f>
        <v/>
      </c>
      <c r="F33" s="29">
        <f>IF(A33&gt;=Supuestos!$B$14,Supuestos!$B$13,0)</f>
        <v/>
      </c>
      <c r="G33" s="29">
        <f>B33+C33-D33-E33-F33</f>
        <v/>
      </c>
      <c r="H33" s="29">
        <f>M32</f>
        <v/>
      </c>
      <c r="I33" s="29">
        <f>MIN(U33,H33)</f>
        <v/>
      </c>
      <c r="J33" s="29">
        <f>(H33-I33)*Supuestos!$B$46</f>
        <v/>
      </c>
      <c r="K33" s="29">
        <f>IF(H33-I33&gt;0.01,MIN(Supuestos!$B$21,(H33-I33)*Supuestos!$B$20),0)</f>
        <v/>
      </c>
      <c r="L33" s="29">
        <f>MIN(MAX(G33-AA33,0),H33-I33)</f>
        <v/>
      </c>
      <c r="M33" s="29">
        <f>H33-I33-L33</f>
        <v/>
      </c>
      <c r="N33" s="29">
        <f>S32</f>
        <v/>
      </c>
      <c r="O33" s="29">
        <f>IF(A33=Supuestos!$B$5,0,N33*Supuestos!$B$47)</f>
        <v/>
      </c>
      <c r="P33" s="29">
        <f>IF(AND(A33&gt;Supuestos!$B$5,N33&gt;0.01),Supuestos!$B$26,0)</f>
        <v/>
      </c>
      <c r="Q33" s="29">
        <f>IF(A33=Supuestos!$B$5,0,MIN(Supuestos!$B$25,N33+O33))</f>
        <v/>
      </c>
      <c r="R33" s="29">
        <f>$B$4*MIN(MAX(G33-AA33-L33,0),N33+O33-Q33)</f>
        <v/>
      </c>
      <c r="S33" s="29">
        <f>N33+O33-Q33-R33</f>
        <v/>
      </c>
      <c r="T33" s="29">
        <f>Z32</f>
        <v/>
      </c>
      <c r="U33" s="29">
        <f>IF(A33=Supuestos!$B$5,$B$3*Supuestos!$B$28,0)</f>
        <v/>
      </c>
      <c r="V33" s="29">
        <f>T33*Supuestos!$B$48</f>
        <v/>
      </c>
      <c r="W33" s="29">
        <f>IF(T33&gt;0.01,Supuestos!$B$58,0)</f>
        <v/>
      </c>
      <c r="X33" s="29">
        <f>MIN(Supuestos!$B$57,T33+V33)</f>
        <v/>
      </c>
      <c r="Y33" s="29">
        <f>$B$5*MIN(MAX(G33-AA33-L33-R33,0),T33+V33-X33)</f>
        <v/>
      </c>
      <c r="Z33" s="29">
        <f>T33+U33+V33-X33-Y33</f>
        <v/>
      </c>
      <c r="AA33" s="29">
        <f>J33+K33+P33+Q33+W33+X33</f>
        <v/>
      </c>
      <c r="AB33" s="29">
        <f>G33-AA33-L33-R33-Y33+U33-I33</f>
        <v/>
      </c>
      <c r="AC33" s="29">
        <f>AC32+AB33</f>
        <v/>
      </c>
      <c r="AD33" s="29">
        <f>M33+S33+Z33</f>
        <v/>
      </c>
      <c r="AE33" s="29">
        <f>J33+K33+O33+P33+V33+W33</f>
        <v/>
      </c>
      <c r="AF33" s="29">
        <f>AF32+AE33</f>
        <v/>
      </c>
      <c r="AG33" s="30">
        <f>IF(AD33&lt;0.01,1,0)</f>
        <v/>
      </c>
    </row>
    <row r="34">
      <c r="A34" s="27">
        <f>DATE(YEAR(A33),MONTH(A33)+1,1)</f>
        <v/>
      </c>
      <c r="B34" s="28">
        <f>IF(A34=Supuestos!$B$5,Supuestos!$B$7,Supuestos!$B$6)</f>
        <v/>
      </c>
      <c r="C34" s="29">
        <f>IF(A34=Supuestos!$B$16,Supuestos!$B$15,0)</f>
        <v/>
      </c>
      <c r="D34" s="28">
        <f>IF(A34=Supuestos!$B$5,Supuestos!$B$8,Supuestos!$B$43)</f>
        <v/>
      </c>
      <c r="E34" s="29">
        <f>IF(AND(A34&gt;Supuestos!$B$5,A34&lt;=Supuestos!$B$12),Supuestos!$B$11,0)</f>
        <v/>
      </c>
      <c r="F34" s="29">
        <f>IF(A34&gt;=Supuestos!$B$14,Supuestos!$B$13,0)</f>
        <v/>
      </c>
      <c r="G34" s="29">
        <f>B34+C34-D34-E34-F34</f>
        <v/>
      </c>
      <c r="H34" s="29">
        <f>M33</f>
        <v/>
      </c>
      <c r="I34" s="29">
        <f>MIN(U34,H34)</f>
        <v/>
      </c>
      <c r="J34" s="29">
        <f>(H34-I34)*Supuestos!$B$46</f>
        <v/>
      </c>
      <c r="K34" s="29">
        <f>IF(H34-I34&gt;0.01,MIN(Supuestos!$B$21,(H34-I34)*Supuestos!$B$20),0)</f>
        <v/>
      </c>
      <c r="L34" s="29">
        <f>MIN(MAX(G34-AA34,0),H34-I34)</f>
        <v/>
      </c>
      <c r="M34" s="29">
        <f>H34-I34-L34</f>
        <v/>
      </c>
      <c r="N34" s="29">
        <f>S33</f>
        <v/>
      </c>
      <c r="O34" s="29">
        <f>IF(A34=Supuestos!$B$5,0,N34*Supuestos!$B$47)</f>
        <v/>
      </c>
      <c r="P34" s="29">
        <f>IF(AND(A34&gt;Supuestos!$B$5,N34&gt;0.01),Supuestos!$B$26,0)</f>
        <v/>
      </c>
      <c r="Q34" s="29">
        <f>IF(A34=Supuestos!$B$5,0,MIN(Supuestos!$B$25,N34+O34))</f>
        <v/>
      </c>
      <c r="R34" s="29">
        <f>$B$4*MIN(MAX(G34-AA34-L34,0),N34+O34-Q34)</f>
        <v/>
      </c>
      <c r="S34" s="29">
        <f>N34+O34-Q34-R34</f>
        <v/>
      </c>
      <c r="T34" s="29">
        <f>Z33</f>
        <v/>
      </c>
      <c r="U34" s="29">
        <f>IF(A34=Supuestos!$B$5,$B$3*Supuestos!$B$28,0)</f>
        <v/>
      </c>
      <c r="V34" s="29">
        <f>T34*Supuestos!$B$48</f>
        <v/>
      </c>
      <c r="W34" s="29">
        <f>IF(T34&gt;0.01,Supuestos!$B$58,0)</f>
        <v/>
      </c>
      <c r="X34" s="29">
        <f>MIN(Supuestos!$B$57,T34+V34)</f>
        <v/>
      </c>
      <c r="Y34" s="29">
        <f>$B$5*MIN(MAX(G34-AA34-L34-R34,0),T34+V34-X34)</f>
        <v/>
      </c>
      <c r="Z34" s="29">
        <f>T34+U34+V34-X34-Y34</f>
        <v/>
      </c>
      <c r="AA34" s="29">
        <f>J34+K34+P34+Q34+W34+X34</f>
        <v/>
      </c>
      <c r="AB34" s="29">
        <f>G34-AA34-L34-R34-Y34+U34-I34</f>
        <v/>
      </c>
      <c r="AC34" s="29">
        <f>AC33+AB34</f>
        <v/>
      </c>
      <c r="AD34" s="29">
        <f>M34+S34+Z34</f>
        <v/>
      </c>
      <c r="AE34" s="29">
        <f>J34+K34+O34+P34+V34+W34</f>
        <v/>
      </c>
      <c r="AF34" s="29">
        <f>AF33+AE34</f>
        <v/>
      </c>
      <c r="AG34" s="30">
        <f>IF(AD34&lt;0.01,1,0)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B Sin préstamo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3" t="inlineStr">
        <is>
          <t>No pide préstamo. Todo el sobrante va a la tarjeta, luego al EC actual.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5" t="inlineStr">
        <is>
          <t>Usa préstamo nuevo (1/0)</t>
        </is>
      </c>
      <c r="B3" s="17" t="n">
        <v>0</v>
      </c>
      <c r="C3" s="2" t="n"/>
      <c r="D3" s="25" t="inlineStr">
        <is>
          <t>Ahorro negativo = déficit: el plan no alcanza ese mes.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5" t="inlineStr">
        <is>
          <t>Prepagar EC actual (1/0)</t>
        </is>
      </c>
      <c r="B4" s="17" t="n">
        <v>1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5" t="inlineStr">
        <is>
          <t>Prepagar préstamo nuevo (1/0)</t>
        </is>
      </c>
      <c r="B5" s="17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 ht="45" customHeight="1">
      <c r="A7" s="26" t="inlineStr">
        <is>
          <t>Mes</t>
        </is>
      </c>
      <c r="B7" s="26" t="inlineStr">
        <is>
          <t>Ingreso</t>
        </is>
      </c>
      <c r="C7" s="26" t="inlineStr">
        <is>
          <t>Devolución impuestos</t>
        </is>
      </c>
      <c r="D7" s="26" t="inlineStr">
        <is>
          <t>Gastos de vida</t>
        </is>
      </c>
      <c r="E7" s="26" t="inlineStr">
        <is>
          <t>Pensión</t>
        </is>
      </c>
      <c r="F7" s="26" t="inlineStr">
        <is>
          <t>Alquiler</t>
        </is>
      </c>
      <c r="G7" s="26" t="inlineStr">
        <is>
          <t>Disponible</t>
        </is>
      </c>
      <c r="H7" s="26" t="inlineStr">
        <is>
          <t>Tarjeta saldo inicial</t>
        </is>
      </c>
      <c r="I7" s="26" t="inlineStr">
        <is>
          <t>Pagado con préstamo</t>
        </is>
      </c>
      <c r="J7" s="26" t="inlineStr">
        <is>
          <t>Interés tarjeta</t>
        </is>
      </c>
      <c r="K7" s="26" t="inlineStr">
        <is>
          <t>Seguro tarjeta</t>
        </is>
      </c>
      <c r="L7" s="26" t="inlineStr">
        <is>
          <t>Pago extra tarjeta</t>
        </is>
      </c>
      <c r="M7" s="26" t="inlineStr">
        <is>
          <t>Tarjeta saldo final</t>
        </is>
      </c>
      <c r="N7" s="26" t="inlineStr">
        <is>
          <t>EC actual saldo inicial</t>
        </is>
      </c>
      <c r="O7" s="26" t="inlineStr">
        <is>
          <t>Interés EC</t>
        </is>
      </c>
      <c r="P7" s="26" t="inlineStr">
        <is>
          <t>Seguro EC</t>
        </is>
      </c>
      <c r="Q7" s="26" t="inlineStr">
        <is>
          <t>Cuota EC</t>
        </is>
      </c>
      <c r="R7" s="26" t="inlineStr">
        <is>
          <t>Prepago EC</t>
        </is>
      </c>
      <c r="S7" s="26" t="inlineStr">
        <is>
          <t>EC saldo final</t>
        </is>
      </c>
      <c r="T7" s="26" t="inlineStr">
        <is>
          <t>Préstamo nuevo saldo inicial</t>
        </is>
      </c>
      <c r="U7" s="26" t="inlineStr">
        <is>
          <t>Desembolso</t>
        </is>
      </c>
      <c r="V7" s="26" t="inlineStr">
        <is>
          <t>Interés préstamo</t>
        </is>
      </c>
      <c r="W7" s="26" t="inlineStr">
        <is>
          <t>Seguro préstamo</t>
        </is>
      </c>
      <c r="X7" s="26" t="inlineStr">
        <is>
          <t>Cuota préstamo</t>
        </is>
      </c>
      <c r="Y7" s="26" t="inlineStr">
        <is>
          <t>Prepago préstamo</t>
        </is>
      </c>
      <c r="Z7" s="26" t="inlineStr">
        <is>
          <t>Préstamo saldo final</t>
        </is>
      </c>
      <c r="AA7" s="26" t="inlineStr">
        <is>
          <t>Pagos obligatorios</t>
        </is>
      </c>
      <c r="AB7" s="26" t="inlineStr">
        <is>
          <t>Ahorro del mes</t>
        </is>
      </c>
      <c r="AC7" s="26" t="inlineStr">
        <is>
          <t>Ahorro acumulado</t>
        </is>
      </c>
      <c r="AD7" s="26" t="inlineStr">
        <is>
          <t>Deuda total</t>
        </is>
      </c>
      <c r="AE7" s="26" t="inlineStr">
        <is>
          <t>Costo financiero del mes</t>
        </is>
      </c>
      <c r="AF7" s="26" t="inlineStr">
        <is>
          <t>Costo financiero acumulado</t>
        </is>
      </c>
      <c r="AG7" s="26" t="inlineStr">
        <is>
          <t>Libre de deuda</t>
        </is>
      </c>
    </row>
    <row r="8">
      <c r="A8" s="27">
        <f>Supuestos!$B$5</f>
        <v/>
      </c>
      <c r="B8" s="28">
        <f>IF(A8=Supuestos!$B$5,Supuestos!$B$7,Supuestos!$B$6)</f>
        <v/>
      </c>
      <c r="C8" s="29">
        <f>IF(A8=Supuestos!$B$16,Supuestos!$B$15,0)</f>
        <v/>
      </c>
      <c r="D8" s="28">
        <f>IF(A8=Supuestos!$B$5,Supuestos!$B$8,Supuestos!$B$43)</f>
        <v/>
      </c>
      <c r="E8" s="29">
        <f>IF(AND(A8&gt;Supuestos!$B$5,A8&lt;=Supuestos!$B$12),Supuestos!$B$11,0)</f>
        <v/>
      </c>
      <c r="F8" s="29">
        <f>IF(A8&gt;=Supuestos!$B$14,Supuestos!$B$13,0)</f>
        <v/>
      </c>
      <c r="G8" s="29">
        <f>B8+C8-D8-E8-F8</f>
        <v/>
      </c>
      <c r="H8" s="28">
        <f>Supuestos!$B$18</f>
        <v/>
      </c>
      <c r="I8" s="29">
        <f>MIN(U8,H8)</f>
        <v/>
      </c>
      <c r="J8" s="29">
        <f>(H8-I8)*Supuestos!$B$46</f>
        <v/>
      </c>
      <c r="K8" s="29">
        <f>IF(H8-I8&gt;0.01,MIN(Supuestos!$B$21,(H8-I8)*Supuestos!$B$20),0)</f>
        <v/>
      </c>
      <c r="L8" s="29">
        <f>MIN(MAX(G8-AA8,0),H8-I8)</f>
        <v/>
      </c>
      <c r="M8" s="29">
        <f>H8-I8-L8</f>
        <v/>
      </c>
      <c r="N8" s="28">
        <f>Supuestos!$B$23</f>
        <v/>
      </c>
      <c r="O8" s="29">
        <f>IF(A8=Supuestos!$B$5,0,N8*Supuestos!$B$47)</f>
        <v/>
      </c>
      <c r="P8" s="29">
        <f>IF(AND(A8&gt;Supuestos!$B$5,N8&gt;0.01),Supuestos!$B$26,0)</f>
        <v/>
      </c>
      <c r="Q8" s="29">
        <f>IF(A8=Supuestos!$B$5,0,MIN(Supuestos!$B$25,N8+O8))</f>
        <v/>
      </c>
      <c r="R8" s="29">
        <f>$B$4*MIN(MAX(G8-AA8-L8,0),N8+O8-Q8)</f>
        <v/>
      </c>
      <c r="S8" s="29">
        <f>N8+O8-Q8-R8</f>
        <v/>
      </c>
      <c r="T8" s="29">
        <f>0</f>
        <v/>
      </c>
      <c r="U8" s="29">
        <f>IF(A8=Supuestos!$B$5,$B$3*Supuestos!$B$28,0)</f>
        <v/>
      </c>
      <c r="V8" s="29">
        <f>T8*Supuestos!$B$48</f>
        <v/>
      </c>
      <c r="W8" s="29">
        <f>IF(T8&gt;0.01,Supuestos!$B$58,0)</f>
        <v/>
      </c>
      <c r="X8" s="29">
        <f>MIN(Supuestos!$B$57,T8+V8)</f>
        <v/>
      </c>
      <c r="Y8" s="29">
        <f>$B$5*MIN(MAX(G8-AA8-L8-R8,0),T8+V8-X8)</f>
        <v/>
      </c>
      <c r="Z8" s="29">
        <f>T8+U8+V8-X8-Y8</f>
        <v/>
      </c>
      <c r="AA8" s="29">
        <f>J8+K8+P8+Q8+W8+X8</f>
        <v/>
      </c>
      <c r="AB8" s="29">
        <f>G8-AA8-L8-R8-Y8+U8-I8</f>
        <v/>
      </c>
      <c r="AC8" s="29">
        <f>AB8</f>
        <v/>
      </c>
      <c r="AD8" s="29">
        <f>M8+S8+Z8</f>
        <v/>
      </c>
      <c r="AE8" s="29">
        <f>J8+K8+O8+P8+V8+W8</f>
        <v/>
      </c>
      <c r="AF8" s="29">
        <f>AE8</f>
        <v/>
      </c>
      <c r="AG8" s="30">
        <f>IF(AD8&lt;0.01,1,0)</f>
        <v/>
      </c>
    </row>
    <row r="9">
      <c r="A9" s="27">
        <f>DATE(YEAR(A8),MONTH(A8)+1,1)</f>
        <v/>
      </c>
      <c r="B9" s="28">
        <f>IF(A9=Supuestos!$B$5,Supuestos!$B$7,Supuestos!$B$6)</f>
        <v/>
      </c>
      <c r="C9" s="29">
        <f>IF(A9=Supuestos!$B$16,Supuestos!$B$15,0)</f>
        <v/>
      </c>
      <c r="D9" s="28">
        <f>IF(A9=Supuestos!$B$5,Supuestos!$B$8,Supuestos!$B$43)</f>
        <v/>
      </c>
      <c r="E9" s="29">
        <f>IF(AND(A9&gt;Supuestos!$B$5,A9&lt;=Supuestos!$B$12),Supuestos!$B$11,0)</f>
        <v/>
      </c>
      <c r="F9" s="29">
        <f>IF(A9&gt;=Supuestos!$B$14,Supuestos!$B$13,0)</f>
        <v/>
      </c>
      <c r="G9" s="29">
        <f>B9+C9-D9-E9-F9</f>
        <v/>
      </c>
      <c r="H9" s="29">
        <f>M8</f>
        <v/>
      </c>
      <c r="I9" s="29">
        <f>MIN(U9,H9)</f>
        <v/>
      </c>
      <c r="J9" s="29">
        <f>(H9-I9)*Supuestos!$B$46</f>
        <v/>
      </c>
      <c r="K9" s="29">
        <f>IF(H9-I9&gt;0.01,MIN(Supuestos!$B$21,(H9-I9)*Supuestos!$B$20),0)</f>
        <v/>
      </c>
      <c r="L9" s="29">
        <f>MIN(MAX(G9-AA9,0),H9-I9)</f>
        <v/>
      </c>
      <c r="M9" s="29">
        <f>H9-I9-L9</f>
        <v/>
      </c>
      <c r="N9" s="29">
        <f>S8</f>
        <v/>
      </c>
      <c r="O9" s="29">
        <f>IF(A9=Supuestos!$B$5,0,N9*Supuestos!$B$47)</f>
        <v/>
      </c>
      <c r="P9" s="29">
        <f>IF(AND(A9&gt;Supuestos!$B$5,N9&gt;0.01),Supuestos!$B$26,0)</f>
        <v/>
      </c>
      <c r="Q9" s="29">
        <f>IF(A9=Supuestos!$B$5,0,MIN(Supuestos!$B$25,N9+O9))</f>
        <v/>
      </c>
      <c r="R9" s="29">
        <f>$B$4*MIN(MAX(G9-AA9-L9,0),N9+O9-Q9)</f>
        <v/>
      </c>
      <c r="S9" s="29">
        <f>N9+O9-Q9-R9</f>
        <v/>
      </c>
      <c r="T9" s="29">
        <f>Z8</f>
        <v/>
      </c>
      <c r="U9" s="29">
        <f>IF(A9=Supuestos!$B$5,$B$3*Supuestos!$B$28,0)</f>
        <v/>
      </c>
      <c r="V9" s="29">
        <f>T9*Supuestos!$B$48</f>
        <v/>
      </c>
      <c r="W9" s="29">
        <f>IF(T9&gt;0.01,Supuestos!$B$58,0)</f>
        <v/>
      </c>
      <c r="X9" s="29">
        <f>MIN(Supuestos!$B$57,T9+V9)</f>
        <v/>
      </c>
      <c r="Y9" s="29">
        <f>$B$5*MIN(MAX(G9-AA9-L9-R9,0),T9+V9-X9)</f>
        <v/>
      </c>
      <c r="Z9" s="29">
        <f>T9+U9+V9-X9-Y9</f>
        <v/>
      </c>
      <c r="AA9" s="29">
        <f>J9+K9+P9+Q9+W9+X9</f>
        <v/>
      </c>
      <c r="AB9" s="29">
        <f>G9-AA9-L9-R9-Y9+U9-I9</f>
        <v/>
      </c>
      <c r="AC9" s="29">
        <f>AC8+AB9</f>
        <v/>
      </c>
      <c r="AD9" s="29">
        <f>M9+S9+Z9</f>
        <v/>
      </c>
      <c r="AE9" s="29">
        <f>J9+K9+O9+P9+V9+W9</f>
        <v/>
      </c>
      <c r="AF9" s="29">
        <f>AF8+AE9</f>
        <v/>
      </c>
      <c r="AG9" s="30">
        <f>IF(AD9&lt;0.01,1,0)</f>
        <v/>
      </c>
    </row>
    <row r="10">
      <c r="A10" s="27">
        <f>DATE(YEAR(A9),MONTH(A9)+1,1)</f>
        <v/>
      </c>
      <c r="B10" s="28">
        <f>IF(A10=Supuestos!$B$5,Supuestos!$B$7,Supuestos!$B$6)</f>
        <v/>
      </c>
      <c r="C10" s="29">
        <f>IF(A10=Supuestos!$B$16,Supuestos!$B$15,0)</f>
        <v/>
      </c>
      <c r="D10" s="28">
        <f>IF(A10=Supuestos!$B$5,Supuestos!$B$8,Supuestos!$B$43)</f>
        <v/>
      </c>
      <c r="E10" s="29">
        <f>IF(AND(A10&gt;Supuestos!$B$5,A10&lt;=Supuestos!$B$12),Supuestos!$B$11,0)</f>
        <v/>
      </c>
      <c r="F10" s="29">
        <f>IF(A10&gt;=Supuestos!$B$14,Supuestos!$B$13,0)</f>
        <v/>
      </c>
      <c r="G10" s="29">
        <f>B10+C10-D10-E10-F10</f>
        <v/>
      </c>
      <c r="H10" s="29">
        <f>M9</f>
        <v/>
      </c>
      <c r="I10" s="29">
        <f>MIN(U10,H10)</f>
        <v/>
      </c>
      <c r="J10" s="29">
        <f>(H10-I10)*Supuestos!$B$46</f>
        <v/>
      </c>
      <c r="K10" s="29">
        <f>IF(H10-I10&gt;0.01,MIN(Supuestos!$B$21,(H10-I10)*Supuestos!$B$20),0)</f>
        <v/>
      </c>
      <c r="L10" s="29">
        <f>MIN(MAX(G10-AA10,0),H10-I10)</f>
        <v/>
      </c>
      <c r="M10" s="29">
        <f>H10-I10-L10</f>
        <v/>
      </c>
      <c r="N10" s="29">
        <f>S9</f>
        <v/>
      </c>
      <c r="O10" s="29">
        <f>IF(A10=Supuestos!$B$5,0,N10*Supuestos!$B$47)</f>
        <v/>
      </c>
      <c r="P10" s="29">
        <f>IF(AND(A10&gt;Supuestos!$B$5,N10&gt;0.01),Supuestos!$B$26,0)</f>
        <v/>
      </c>
      <c r="Q10" s="29">
        <f>IF(A10=Supuestos!$B$5,0,MIN(Supuestos!$B$25,N10+O10))</f>
        <v/>
      </c>
      <c r="R10" s="29">
        <f>$B$4*MIN(MAX(G10-AA10-L10,0),N10+O10-Q10)</f>
        <v/>
      </c>
      <c r="S10" s="29">
        <f>N10+O10-Q10-R10</f>
        <v/>
      </c>
      <c r="T10" s="29">
        <f>Z9</f>
        <v/>
      </c>
      <c r="U10" s="29">
        <f>IF(A10=Supuestos!$B$5,$B$3*Supuestos!$B$28,0)</f>
        <v/>
      </c>
      <c r="V10" s="29">
        <f>T10*Supuestos!$B$48</f>
        <v/>
      </c>
      <c r="W10" s="29">
        <f>IF(T10&gt;0.01,Supuestos!$B$58,0)</f>
        <v/>
      </c>
      <c r="X10" s="29">
        <f>MIN(Supuestos!$B$57,T10+V10)</f>
        <v/>
      </c>
      <c r="Y10" s="29">
        <f>$B$5*MIN(MAX(G10-AA10-L10-R10,0),T10+V10-X10)</f>
        <v/>
      </c>
      <c r="Z10" s="29">
        <f>T10+U10+V10-X10-Y10</f>
        <v/>
      </c>
      <c r="AA10" s="29">
        <f>J10+K10+P10+Q10+W10+X10</f>
        <v/>
      </c>
      <c r="AB10" s="29">
        <f>G10-AA10-L10-R10-Y10+U10-I10</f>
        <v/>
      </c>
      <c r="AC10" s="29">
        <f>AC9+AB10</f>
        <v/>
      </c>
      <c r="AD10" s="29">
        <f>M10+S10+Z10</f>
        <v/>
      </c>
      <c r="AE10" s="29">
        <f>J10+K10+O10+P10+V10+W10</f>
        <v/>
      </c>
      <c r="AF10" s="29">
        <f>AF9+AE10</f>
        <v/>
      </c>
      <c r="AG10" s="30">
        <f>IF(AD10&lt;0.01,1,0)</f>
        <v/>
      </c>
    </row>
    <row r="11">
      <c r="A11" s="27">
        <f>DATE(YEAR(A10),MONTH(A10)+1,1)</f>
        <v/>
      </c>
      <c r="B11" s="28">
        <f>IF(A11=Supuestos!$B$5,Supuestos!$B$7,Supuestos!$B$6)</f>
        <v/>
      </c>
      <c r="C11" s="29">
        <f>IF(A11=Supuestos!$B$16,Supuestos!$B$15,0)</f>
        <v/>
      </c>
      <c r="D11" s="28">
        <f>IF(A11=Supuestos!$B$5,Supuestos!$B$8,Supuestos!$B$43)</f>
        <v/>
      </c>
      <c r="E11" s="29">
        <f>IF(AND(A11&gt;Supuestos!$B$5,A11&lt;=Supuestos!$B$12),Supuestos!$B$11,0)</f>
        <v/>
      </c>
      <c r="F11" s="29">
        <f>IF(A11&gt;=Supuestos!$B$14,Supuestos!$B$13,0)</f>
        <v/>
      </c>
      <c r="G11" s="29">
        <f>B11+C11-D11-E11-F11</f>
        <v/>
      </c>
      <c r="H11" s="29">
        <f>M10</f>
        <v/>
      </c>
      <c r="I11" s="29">
        <f>MIN(U11,H11)</f>
        <v/>
      </c>
      <c r="J11" s="29">
        <f>(H11-I11)*Supuestos!$B$46</f>
        <v/>
      </c>
      <c r="K11" s="29">
        <f>IF(H11-I11&gt;0.01,MIN(Supuestos!$B$21,(H11-I11)*Supuestos!$B$20),0)</f>
        <v/>
      </c>
      <c r="L11" s="29">
        <f>MIN(MAX(G11-AA11,0),H11-I11)</f>
        <v/>
      </c>
      <c r="M11" s="29">
        <f>H11-I11-L11</f>
        <v/>
      </c>
      <c r="N11" s="29">
        <f>S10</f>
        <v/>
      </c>
      <c r="O11" s="29">
        <f>IF(A11=Supuestos!$B$5,0,N11*Supuestos!$B$47)</f>
        <v/>
      </c>
      <c r="P11" s="29">
        <f>IF(AND(A11&gt;Supuestos!$B$5,N11&gt;0.01),Supuestos!$B$26,0)</f>
        <v/>
      </c>
      <c r="Q11" s="29">
        <f>IF(A11=Supuestos!$B$5,0,MIN(Supuestos!$B$25,N11+O11))</f>
        <v/>
      </c>
      <c r="R11" s="29">
        <f>$B$4*MIN(MAX(G11-AA11-L11,0),N11+O11-Q11)</f>
        <v/>
      </c>
      <c r="S11" s="29">
        <f>N11+O11-Q11-R11</f>
        <v/>
      </c>
      <c r="T11" s="29">
        <f>Z10</f>
        <v/>
      </c>
      <c r="U11" s="29">
        <f>IF(A11=Supuestos!$B$5,$B$3*Supuestos!$B$28,0)</f>
        <v/>
      </c>
      <c r="V11" s="29">
        <f>T11*Supuestos!$B$48</f>
        <v/>
      </c>
      <c r="W11" s="29">
        <f>IF(T11&gt;0.01,Supuestos!$B$58,0)</f>
        <v/>
      </c>
      <c r="X11" s="29">
        <f>MIN(Supuestos!$B$57,T11+V11)</f>
        <v/>
      </c>
      <c r="Y11" s="29">
        <f>$B$5*MIN(MAX(G11-AA11-L11-R11,0),T11+V11-X11)</f>
        <v/>
      </c>
      <c r="Z11" s="29">
        <f>T11+U11+V11-X11-Y11</f>
        <v/>
      </c>
      <c r="AA11" s="29">
        <f>J11+K11+P11+Q11+W11+X11</f>
        <v/>
      </c>
      <c r="AB11" s="29">
        <f>G11-AA11-L11-R11-Y11+U11-I11</f>
        <v/>
      </c>
      <c r="AC11" s="29">
        <f>AC10+AB11</f>
        <v/>
      </c>
      <c r="AD11" s="29">
        <f>M11+S11+Z11</f>
        <v/>
      </c>
      <c r="AE11" s="29">
        <f>J11+K11+O11+P11+V11+W11</f>
        <v/>
      </c>
      <c r="AF11" s="29">
        <f>AF10+AE11</f>
        <v/>
      </c>
      <c r="AG11" s="30">
        <f>IF(AD11&lt;0.01,1,0)</f>
        <v/>
      </c>
    </row>
    <row r="12">
      <c r="A12" s="27">
        <f>DATE(YEAR(A11),MONTH(A11)+1,1)</f>
        <v/>
      </c>
      <c r="B12" s="28">
        <f>IF(A12=Supuestos!$B$5,Supuestos!$B$7,Supuestos!$B$6)</f>
        <v/>
      </c>
      <c r="C12" s="29">
        <f>IF(A12=Supuestos!$B$16,Supuestos!$B$15,0)</f>
        <v/>
      </c>
      <c r="D12" s="28">
        <f>IF(A12=Supuestos!$B$5,Supuestos!$B$8,Supuestos!$B$43)</f>
        <v/>
      </c>
      <c r="E12" s="29">
        <f>IF(AND(A12&gt;Supuestos!$B$5,A12&lt;=Supuestos!$B$12),Supuestos!$B$11,0)</f>
        <v/>
      </c>
      <c r="F12" s="29">
        <f>IF(A12&gt;=Supuestos!$B$14,Supuestos!$B$13,0)</f>
        <v/>
      </c>
      <c r="G12" s="29">
        <f>B12+C12-D12-E12-F12</f>
        <v/>
      </c>
      <c r="H12" s="29">
        <f>M11</f>
        <v/>
      </c>
      <c r="I12" s="29">
        <f>MIN(U12,H12)</f>
        <v/>
      </c>
      <c r="J12" s="29">
        <f>(H12-I12)*Supuestos!$B$46</f>
        <v/>
      </c>
      <c r="K12" s="29">
        <f>IF(H12-I12&gt;0.01,MIN(Supuestos!$B$21,(H12-I12)*Supuestos!$B$20),0)</f>
        <v/>
      </c>
      <c r="L12" s="29">
        <f>MIN(MAX(G12-AA12,0),H12-I12)</f>
        <v/>
      </c>
      <c r="M12" s="29">
        <f>H12-I12-L12</f>
        <v/>
      </c>
      <c r="N12" s="29">
        <f>S11</f>
        <v/>
      </c>
      <c r="O12" s="29">
        <f>IF(A12=Supuestos!$B$5,0,N12*Supuestos!$B$47)</f>
        <v/>
      </c>
      <c r="P12" s="29">
        <f>IF(AND(A12&gt;Supuestos!$B$5,N12&gt;0.01),Supuestos!$B$26,0)</f>
        <v/>
      </c>
      <c r="Q12" s="29">
        <f>IF(A12=Supuestos!$B$5,0,MIN(Supuestos!$B$25,N12+O12))</f>
        <v/>
      </c>
      <c r="R12" s="29">
        <f>$B$4*MIN(MAX(G12-AA12-L12,0),N12+O12-Q12)</f>
        <v/>
      </c>
      <c r="S12" s="29">
        <f>N12+O12-Q12-R12</f>
        <v/>
      </c>
      <c r="T12" s="29">
        <f>Z11</f>
        <v/>
      </c>
      <c r="U12" s="29">
        <f>IF(A12=Supuestos!$B$5,$B$3*Supuestos!$B$28,0)</f>
        <v/>
      </c>
      <c r="V12" s="29">
        <f>T12*Supuestos!$B$48</f>
        <v/>
      </c>
      <c r="W12" s="29">
        <f>IF(T12&gt;0.01,Supuestos!$B$58,0)</f>
        <v/>
      </c>
      <c r="X12" s="29">
        <f>MIN(Supuestos!$B$57,T12+V12)</f>
        <v/>
      </c>
      <c r="Y12" s="29">
        <f>$B$5*MIN(MAX(G12-AA12-L12-R12,0),T12+V12-X12)</f>
        <v/>
      </c>
      <c r="Z12" s="29">
        <f>T12+U12+V12-X12-Y12</f>
        <v/>
      </c>
      <c r="AA12" s="29">
        <f>J12+K12+P12+Q12+W12+X12</f>
        <v/>
      </c>
      <c r="AB12" s="29">
        <f>G12-AA12-L12-R12-Y12+U12-I12</f>
        <v/>
      </c>
      <c r="AC12" s="29">
        <f>AC11+AB12</f>
        <v/>
      </c>
      <c r="AD12" s="29">
        <f>M12+S12+Z12</f>
        <v/>
      </c>
      <c r="AE12" s="29">
        <f>J12+K12+O12+P12+V12+W12</f>
        <v/>
      </c>
      <c r="AF12" s="29">
        <f>AF11+AE12</f>
        <v/>
      </c>
      <c r="AG12" s="30">
        <f>IF(AD12&lt;0.01,1,0)</f>
        <v/>
      </c>
    </row>
    <row r="13">
      <c r="A13" s="27">
        <f>DATE(YEAR(A12),MONTH(A12)+1,1)</f>
        <v/>
      </c>
      <c r="B13" s="28">
        <f>IF(A13=Supuestos!$B$5,Supuestos!$B$7,Supuestos!$B$6)</f>
        <v/>
      </c>
      <c r="C13" s="29">
        <f>IF(A13=Supuestos!$B$16,Supuestos!$B$15,0)</f>
        <v/>
      </c>
      <c r="D13" s="28">
        <f>IF(A13=Supuestos!$B$5,Supuestos!$B$8,Supuestos!$B$43)</f>
        <v/>
      </c>
      <c r="E13" s="29">
        <f>IF(AND(A13&gt;Supuestos!$B$5,A13&lt;=Supuestos!$B$12),Supuestos!$B$11,0)</f>
        <v/>
      </c>
      <c r="F13" s="29">
        <f>IF(A13&gt;=Supuestos!$B$14,Supuestos!$B$13,0)</f>
        <v/>
      </c>
      <c r="G13" s="29">
        <f>B13+C13-D13-E13-F13</f>
        <v/>
      </c>
      <c r="H13" s="29">
        <f>M12</f>
        <v/>
      </c>
      <c r="I13" s="29">
        <f>MIN(U13,H13)</f>
        <v/>
      </c>
      <c r="J13" s="29">
        <f>(H13-I13)*Supuestos!$B$46</f>
        <v/>
      </c>
      <c r="K13" s="29">
        <f>IF(H13-I13&gt;0.01,MIN(Supuestos!$B$21,(H13-I13)*Supuestos!$B$20),0)</f>
        <v/>
      </c>
      <c r="L13" s="29">
        <f>MIN(MAX(G13-AA13,0),H13-I13)</f>
        <v/>
      </c>
      <c r="M13" s="29">
        <f>H13-I13-L13</f>
        <v/>
      </c>
      <c r="N13" s="29">
        <f>S12</f>
        <v/>
      </c>
      <c r="O13" s="29">
        <f>IF(A13=Supuestos!$B$5,0,N13*Supuestos!$B$47)</f>
        <v/>
      </c>
      <c r="P13" s="29">
        <f>IF(AND(A13&gt;Supuestos!$B$5,N13&gt;0.01),Supuestos!$B$26,0)</f>
        <v/>
      </c>
      <c r="Q13" s="29">
        <f>IF(A13=Supuestos!$B$5,0,MIN(Supuestos!$B$25,N13+O13))</f>
        <v/>
      </c>
      <c r="R13" s="29">
        <f>$B$4*MIN(MAX(G13-AA13-L13,0),N13+O13-Q13)</f>
        <v/>
      </c>
      <c r="S13" s="29">
        <f>N13+O13-Q13-R13</f>
        <v/>
      </c>
      <c r="T13" s="29">
        <f>Z12</f>
        <v/>
      </c>
      <c r="U13" s="29">
        <f>IF(A13=Supuestos!$B$5,$B$3*Supuestos!$B$28,0)</f>
        <v/>
      </c>
      <c r="V13" s="29">
        <f>T13*Supuestos!$B$48</f>
        <v/>
      </c>
      <c r="W13" s="29">
        <f>IF(T13&gt;0.01,Supuestos!$B$58,0)</f>
        <v/>
      </c>
      <c r="X13" s="29">
        <f>MIN(Supuestos!$B$57,T13+V13)</f>
        <v/>
      </c>
      <c r="Y13" s="29">
        <f>$B$5*MIN(MAX(G13-AA13-L13-R13,0),T13+V13-X13)</f>
        <v/>
      </c>
      <c r="Z13" s="29">
        <f>T13+U13+V13-X13-Y13</f>
        <v/>
      </c>
      <c r="AA13" s="29">
        <f>J13+K13+P13+Q13+W13+X13</f>
        <v/>
      </c>
      <c r="AB13" s="29">
        <f>G13-AA13-L13-R13-Y13+U13-I13</f>
        <v/>
      </c>
      <c r="AC13" s="29">
        <f>AC12+AB13</f>
        <v/>
      </c>
      <c r="AD13" s="29">
        <f>M13+S13+Z13</f>
        <v/>
      </c>
      <c r="AE13" s="29">
        <f>J13+K13+O13+P13+V13+W13</f>
        <v/>
      </c>
      <c r="AF13" s="29">
        <f>AF12+AE13</f>
        <v/>
      </c>
      <c r="AG13" s="30">
        <f>IF(AD13&lt;0.01,1,0)</f>
        <v/>
      </c>
    </row>
    <row r="14">
      <c r="A14" s="27">
        <f>DATE(YEAR(A13),MONTH(A13)+1,1)</f>
        <v/>
      </c>
      <c r="B14" s="28">
        <f>IF(A14=Supuestos!$B$5,Supuestos!$B$7,Supuestos!$B$6)</f>
        <v/>
      </c>
      <c r="C14" s="29">
        <f>IF(A14=Supuestos!$B$16,Supuestos!$B$15,0)</f>
        <v/>
      </c>
      <c r="D14" s="28">
        <f>IF(A14=Supuestos!$B$5,Supuestos!$B$8,Supuestos!$B$43)</f>
        <v/>
      </c>
      <c r="E14" s="29">
        <f>IF(AND(A14&gt;Supuestos!$B$5,A14&lt;=Supuestos!$B$12),Supuestos!$B$11,0)</f>
        <v/>
      </c>
      <c r="F14" s="29">
        <f>IF(A14&gt;=Supuestos!$B$14,Supuestos!$B$13,0)</f>
        <v/>
      </c>
      <c r="G14" s="29">
        <f>B14+C14-D14-E14-F14</f>
        <v/>
      </c>
      <c r="H14" s="29">
        <f>M13</f>
        <v/>
      </c>
      <c r="I14" s="29">
        <f>MIN(U14,H14)</f>
        <v/>
      </c>
      <c r="J14" s="29">
        <f>(H14-I14)*Supuestos!$B$46</f>
        <v/>
      </c>
      <c r="K14" s="29">
        <f>IF(H14-I14&gt;0.01,MIN(Supuestos!$B$21,(H14-I14)*Supuestos!$B$20),0)</f>
        <v/>
      </c>
      <c r="L14" s="29">
        <f>MIN(MAX(G14-AA14,0),H14-I14)</f>
        <v/>
      </c>
      <c r="M14" s="29">
        <f>H14-I14-L14</f>
        <v/>
      </c>
      <c r="N14" s="29">
        <f>S13</f>
        <v/>
      </c>
      <c r="O14" s="29">
        <f>IF(A14=Supuestos!$B$5,0,N14*Supuestos!$B$47)</f>
        <v/>
      </c>
      <c r="P14" s="29">
        <f>IF(AND(A14&gt;Supuestos!$B$5,N14&gt;0.01),Supuestos!$B$26,0)</f>
        <v/>
      </c>
      <c r="Q14" s="29">
        <f>IF(A14=Supuestos!$B$5,0,MIN(Supuestos!$B$25,N14+O14))</f>
        <v/>
      </c>
      <c r="R14" s="29">
        <f>$B$4*MIN(MAX(G14-AA14-L14,0),N14+O14-Q14)</f>
        <v/>
      </c>
      <c r="S14" s="29">
        <f>N14+O14-Q14-R14</f>
        <v/>
      </c>
      <c r="T14" s="29">
        <f>Z13</f>
        <v/>
      </c>
      <c r="U14" s="29">
        <f>IF(A14=Supuestos!$B$5,$B$3*Supuestos!$B$28,0)</f>
        <v/>
      </c>
      <c r="V14" s="29">
        <f>T14*Supuestos!$B$48</f>
        <v/>
      </c>
      <c r="W14" s="29">
        <f>IF(T14&gt;0.01,Supuestos!$B$58,0)</f>
        <v/>
      </c>
      <c r="X14" s="29">
        <f>MIN(Supuestos!$B$57,T14+V14)</f>
        <v/>
      </c>
      <c r="Y14" s="29">
        <f>$B$5*MIN(MAX(G14-AA14-L14-R14,0),T14+V14-X14)</f>
        <v/>
      </c>
      <c r="Z14" s="29">
        <f>T14+U14+V14-X14-Y14</f>
        <v/>
      </c>
      <c r="AA14" s="29">
        <f>J14+K14+P14+Q14+W14+X14</f>
        <v/>
      </c>
      <c r="AB14" s="29">
        <f>G14-AA14-L14-R14-Y14+U14-I14</f>
        <v/>
      </c>
      <c r="AC14" s="29">
        <f>AC13+AB14</f>
        <v/>
      </c>
      <c r="AD14" s="29">
        <f>M14+S14+Z14</f>
        <v/>
      </c>
      <c r="AE14" s="29">
        <f>J14+K14+O14+P14+V14+W14</f>
        <v/>
      </c>
      <c r="AF14" s="29">
        <f>AF13+AE14</f>
        <v/>
      </c>
      <c r="AG14" s="30">
        <f>IF(AD14&lt;0.01,1,0)</f>
        <v/>
      </c>
    </row>
    <row r="15">
      <c r="A15" s="27">
        <f>DATE(YEAR(A14),MONTH(A14)+1,1)</f>
        <v/>
      </c>
      <c r="B15" s="28">
        <f>IF(A15=Supuestos!$B$5,Supuestos!$B$7,Supuestos!$B$6)</f>
        <v/>
      </c>
      <c r="C15" s="29">
        <f>IF(A15=Supuestos!$B$16,Supuestos!$B$15,0)</f>
        <v/>
      </c>
      <c r="D15" s="28">
        <f>IF(A15=Supuestos!$B$5,Supuestos!$B$8,Supuestos!$B$43)</f>
        <v/>
      </c>
      <c r="E15" s="29">
        <f>IF(AND(A15&gt;Supuestos!$B$5,A15&lt;=Supuestos!$B$12),Supuestos!$B$11,0)</f>
        <v/>
      </c>
      <c r="F15" s="29">
        <f>IF(A15&gt;=Supuestos!$B$14,Supuestos!$B$13,0)</f>
        <v/>
      </c>
      <c r="G15" s="29">
        <f>B15+C15-D15-E15-F15</f>
        <v/>
      </c>
      <c r="H15" s="29">
        <f>M14</f>
        <v/>
      </c>
      <c r="I15" s="29">
        <f>MIN(U15,H15)</f>
        <v/>
      </c>
      <c r="J15" s="29">
        <f>(H15-I15)*Supuestos!$B$46</f>
        <v/>
      </c>
      <c r="K15" s="29">
        <f>IF(H15-I15&gt;0.01,MIN(Supuestos!$B$21,(H15-I15)*Supuestos!$B$20),0)</f>
        <v/>
      </c>
      <c r="L15" s="29">
        <f>MIN(MAX(G15-AA15,0),H15-I15)</f>
        <v/>
      </c>
      <c r="M15" s="29">
        <f>H15-I15-L15</f>
        <v/>
      </c>
      <c r="N15" s="29">
        <f>S14</f>
        <v/>
      </c>
      <c r="O15" s="29">
        <f>IF(A15=Supuestos!$B$5,0,N15*Supuestos!$B$47)</f>
        <v/>
      </c>
      <c r="P15" s="29">
        <f>IF(AND(A15&gt;Supuestos!$B$5,N15&gt;0.01),Supuestos!$B$26,0)</f>
        <v/>
      </c>
      <c r="Q15" s="29">
        <f>IF(A15=Supuestos!$B$5,0,MIN(Supuestos!$B$25,N15+O15))</f>
        <v/>
      </c>
      <c r="R15" s="29">
        <f>$B$4*MIN(MAX(G15-AA15-L15,0),N15+O15-Q15)</f>
        <v/>
      </c>
      <c r="S15" s="29">
        <f>N15+O15-Q15-R15</f>
        <v/>
      </c>
      <c r="T15" s="29">
        <f>Z14</f>
        <v/>
      </c>
      <c r="U15" s="29">
        <f>IF(A15=Supuestos!$B$5,$B$3*Supuestos!$B$28,0)</f>
        <v/>
      </c>
      <c r="V15" s="29">
        <f>T15*Supuestos!$B$48</f>
        <v/>
      </c>
      <c r="W15" s="29">
        <f>IF(T15&gt;0.01,Supuestos!$B$58,0)</f>
        <v/>
      </c>
      <c r="X15" s="29">
        <f>MIN(Supuestos!$B$57,T15+V15)</f>
        <v/>
      </c>
      <c r="Y15" s="29">
        <f>$B$5*MIN(MAX(G15-AA15-L15-R15,0),T15+V15-X15)</f>
        <v/>
      </c>
      <c r="Z15" s="29">
        <f>T15+U15+V15-X15-Y15</f>
        <v/>
      </c>
      <c r="AA15" s="29">
        <f>J15+K15+P15+Q15+W15+X15</f>
        <v/>
      </c>
      <c r="AB15" s="29">
        <f>G15-AA15-L15-R15-Y15+U15-I15</f>
        <v/>
      </c>
      <c r="AC15" s="29">
        <f>AC14+AB15</f>
        <v/>
      </c>
      <c r="AD15" s="29">
        <f>M15+S15+Z15</f>
        <v/>
      </c>
      <c r="AE15" s="29">
        <f>J15+K15+O15+P15+V15+W15</f>
        <v/>
      </c>
      <c r="AF15" s="29">
        <f>AF14+AE15</f>
        <v/>
      </c>
      <c r="AG15" s="30">
        <f>IF(AD15&lt;0.01,1,0)</f>
        <v/>
      </c>
    </row>
    <row r="16">
      <c r="A16" s="27">
        <f>DATE(YEAR(A15),MONTH(A15)+1,1)</f>
        <v/>
      </c>
      <c r="B16" s="28">
        <f>IF(A16=Supuestos!$B$5,Supuestos!$B$7,Supuestos!$B$6)</f>
        <v/>
      </c>
      <c r="C16" s="29">
        <f>IF(A16=Supuestos!$B$16,Supuestos!$B$15,0)</f>
        <v/>
      </c>
      <c r="D16" s="28">
        <f>IF(A16=Supuestos!$B$5,Supuestos!$B$8,Supuestos!$B$43)</f>
        <v/>
      </c>
      <c r="E16" s="29">
        <f>IF(AND(A16&gt;Supuestos!$B$5,A16&lt;=Supuestos!$B$12),Supuestos!$B$11,0)</f>
        <v/>
      </c>
      <c r="F16" s="29">
        <f>IF(A16&gt;=Supuestos!$B$14,Supuestos!$B$13,0)</f>
        <v/>
      </c>
      <c r="G16" s="29">
        <f>B16+C16-D16-E16-F16</f>
        <v/>
      </c>
      <c r="H16" s="29">
        <f>M15</f>
        <v/>
      </c>
      <c r="I16" s="29">
        <f>MIN(U16,H16)</f>
        <v/>
      </c>
      <c r="J16" s="29">
        <f>(H16-I16)*Supuestos!$B$46</f>
        <v/>
      </c>
      <c r="K16" s="29">
        <f>IF(H16-I16&gt;0.01,MIN(Supuestos!$B$21,(H16-I16)*Supuestos!$B$20),0)</f>
        <v/>
      </c>
      <c r="L16" s="29">
        <f>MIN(MAX(G16-AA16,0),H16-I16)</f>
        <v/>
      </c>
      <c r="M16" s="29">
        <f>H16-I16-L16</f>
        <v/>
      </c>
      <c r="N16" s="29">
        <f>S15</f>
        <v/>
      </c>
      <c r="O16" s="29">
        <f>IF(A16=Supuestos!$B$5,0,N16*Supuestos!$B$47)</f>
        <v/>
      </c>
      <c r="P16" s="29">
        <f>IF(AND(A16&gt;Supuestos!$B$5,N16&gt;0.01),Supuestos!$B$26,0)</f>
        <v/>
      </c>
      <c r="Q16" s="29">
        <f>IF(A16=Supuestos!$B$5,0,MIN(Supuestos!$B$25,N16+O16))</f>
        <v/>
      </c>
      <c r="R16" s="29">
        <f>$B$4*MIN(MAX(G16-AA16-L16,0),N16+O16-Q16)</f>
        <v/>
      </c>
      <c r="S16" s="29">
        <f>N16+O16-Q16-R16</f>
        <v/>
      </c>
      <c r="T16" s="29">
        <f>Z15</f>
        <v/>
      </c>
      <c r="U16" s="29">
        <f>IF(A16=Supuestos!$B$5,$B$3*Supuestos!$B$28,0)</f>
        <v/>
      </c>
      <c r="V16" s="29">
        <f>T16*Supuestos!$B$48</f>
        <v/>
      </c>
      <c r="W16" s="29">
        <f>IF(T16&gt;0.01,Supuestos!$B$58,0)</f>
        <v/>
      </c>
      <c r="X16" s="29">
        <f>MIN(Supuestos!$B$57,T16+V16)</f>
        <v/>
      </c>
      <c r="Y16" s="29">
        <f>$B$5*MIN(MAX(G16-AA16-L16-R16,0),T16+V16-X16)</f>
        <v/>
      </c>
      <c r="Z16" s="29">
        <f>T16+U16+V16-X16-Y16</f>
        <v/>
      </c>
      <c r="AA16" s="29">
        <f>J16+K16+P16+Q16+W16+X16</f>
        <v/>
      </c>
      <c r="AB16" s="29">
        <f>G16-AA16-L16-R16-Y16+U16-I16</f>
        <v/>
      </c>
      <c r="AC16" s="29">
        <f>AC15+AB16</f>
        <v/>
      </c>
      <c r="AD16" s="29">
        <f>M16+S16+Z16</f>
        <v/>
      </c>
      <c r="AE16" s="29">
        <f>J16+K16+O16+P16+V16+W16</f>
        <v/>
      </c>
      <c r="AF16" s="29">
        <f>AF15+AE16</f>
        <v/>
      </c>
      <c r="AG16" s="30">
        <f>IF(AD16&lt;0.01,1,0)</f>
        <v/>
      </c>
    </row>
    <row r="17">
      <c r="A17" s="27">
        <f>DATE(YEAR(A16),MONTH(A16)+1,1)</f>
        <v/>
      </c>
      <c r="B17" s="28">
        <f>IF(A17=Supuestos!$B$5,Supuestos!$B$7,Supuestos!$B$6)</f>
        <v/>
      </c>
      <c r="C17" s="29">
        <f>IF(A17=Supuestos!$B$16,Supuestos!$B$15,0)</f>
        <v/>
      </c>
      <c r="D17" s="28">
        <f>IF(A17=Supuestos!$B$5,Supuestos!$B$8,Supuestos!$B$43)</f>
        <v/>
      </c>
      <c r="E17" s="29">
        <f>IF(AND(A17&gt;Supuestos!$B$5,A17&lt;=Supuestos!$B$12),Supuestos!$B$11,0)</f>
        <v/>
      </c>
      <c r="F17" s="29">
        <f>IF(A17&gt;=Supuestos!$B$14,Supuestos!$B$13,0)</f>
        <v/>
      </c>
      <c r="G17" s="29">
        <f>B17+C17-D17-E17-F17</f>
        <v/>
      </c>
      <c r="H17" s="29">
        <f>M16</f>
        <v/>
      </c>
      <c r="I17" s="29">
        <f>MIN(U17,H17)</f>
        <v/>
      </c>
      <c r="J17" s="29">
        <f>(H17-I17)*Supuestos!$B$46</f>
        <v/>
      </c>
      <c r="K17" s="29">
        <f>IF(H17-I17&gt;0.01,MIN(Supuestos!$B$21,(H17-I17)*Supuestos!$B$20),0)</f>
        <v/>
      </c>
      <c r="L17" s="29">
        <f>MIN(MAX(G17-AA17,0),H17-I17)</f>
        <v/>
      </c>
      <c r="M17" s="29">
        <f>H17-I17-L17</f>
        <v/>
      </c>
      <c r="N17" s="29">
        <f>S16</f>
        <v/>
      </c>
      <c r="O17" s="29">
        <f>IF(A17=Supuestos!$B$5,0,N17*Supuestos!$B$47)</f>
        <v/>
      </c>
      <c r="P17" s="29">
        <f>IF(AND(A17&gt;Supuestos!$B$5,N17&gt;0.01),Supuestos!$B$26,0)</f>
        <v/>
      </c>
      <c r="Q17" s="29">
        <f>IF(A17=Supuestos!$B$5,0,MIN(Supuestos!$B$25,N17+O17))</f>
        <v/>
      </c>
      <c r="R17" s="29">
        <f>$B$4*MIN(MAX(G17-AA17-L17,0),N17+O17-Q17)</f>
        <v/>
      </c>
      <c r="S17" s="29">
        <f>N17+O17-Q17-R17</f>
        <v/>
      </c>
      <c r="T17" s="29">
        <f>Z16</f>
        <v/>
      </c>
      <c r="U17" s="29">
        <f>IF(A17=Supuestos!$B$5,$B$3*Supuestos!$B$28,0)</f>
        <v/>
      </c>
      <c r="V17" s="29">
        <f>T17*Supuestos!$B$48</f>
        <v/>
      </c>
      <c r="W17" s="29">
        <f>IF(T17&gt;0.01,Supuestos!$B$58,0)</f>
        <v/>
      </c>
      <c r="X17" s="29">
        <f>MIN(Supuestos!$B$57,T17+V17)</f>
        <v/>
      </c>
      <c r="Y17" s="29">
        <f>$B$5*MIN(MAX(G17-AA17-L17-R17,0),T17+V17-X17)</f>
        <v/>
      </c>
      <c r="Z17" s="29">
        <f>T17+U17+V17-X17-Y17</f>
        <v/>
      </c>
      <c r="AA17" s="29">
        <f>J17+K17+P17+Q17+W17+X17</f>
        <v/>
      </c>
      <c r="AB17" s="29">
        <f>G17-AA17-L17-R17-Y17+U17-I17</f>
        <v/>
      </c>
      <c r="AC17" s="29">
        <f>AC16+AB17</f>
        <v/>
      </c>
      <c r="AD17" s="29">
        <f>M17+S17+Z17</f>
        <v/>
      </c>
      <c r="AE17" s="29">
        <f>J17+K17+O17+P17+V17+W17</f>
        <v/>
      </c>
      <c r="AF17" s="29">
        <f>AF16+AE17</f>
        <v/>
      </c>
      <c r="AG17" s="30">
        <f>IF(AD17&lt;0.01,1,0)</f>
        <v/>
      </c>
    </row>
    <row r="18">
      <c r="A18" s="27">
        <f>DATE(YEAR(A17),MONTH(A17)+1,1)</f>
        <v/>
      </c>
      <c r="B18" s="28">
        <f>IF(A18=Supuestos!$B$5,Supuestos!$B$7,Supuestos!$B$6)</f>
        <v/>
      </c>
      <c r="C18" s="29">
        <f>IF(A18=Supuestos!$B$16,Supuestos!$B$15,0)</f>
        <v/>
      </c>
      <c r="D18" s="28">
        <f>IF(A18=Supuestos!$B$5,Supuestos!$B$8,Supuestos!$B$43)</f>
        <v/>
      </c>
      <c r="E18" s="29">
        <f>IF(AND(A18&gt;Supuestos!$B$5,A18&lt;=Supuestos!$B$12),Supuestos!$B$11,0)</f>
        <v/>
      </c>
      <c r="F18" s="29">
        <f>IF(A18&gt;=Supuestos!$B$14,Supuestos!$B$13,0)</f>
        <v/>
      </c>
      <c r="G18" s="29">
        <f>B18+C18-D18-E18-F18</f>
        <v/>
      </c>
      <c r="H18" s="29">
        <f>M17</f>
        <v/>
      </c>
      <c r="I18" s="29">
        <f>MIN(U18,H18)</f>
        <v/>
      </c>
      <c r="J18" s="29">
        <f>(H18-I18)*Supuestos!$B$46</f>
        <v/>
      </c>
      <c r="K18" s="29">
        <f>IF(H18-I18&gt;0.01,MIN(Supuestos!$B$21,(H18-I18)*Supuestos!$B$20),0)</f>
        <v/>
      </c>
      <c r="L18" s="29">
        <f>MIN(MAX(G18-AA18,0),H18-I18)</f>
        <v/>
      </c>
      <c r="M18" s="29">
        <f>H18-I18-L18</f>
        <v/>
      </c>
      <c r="N18" s="29">
        <f>S17</f>
        <v/>
      </c>
      <c r="O18" s="29">
        <f>IF(A18=Supuestos!$B$5,0,N18*Supuestos!$B$47)</f>
        <v/>
      </c>
      <c r="P18" s="29">
        <f>IF(AND(A18&gt;Supuestos!$B$5,N18&gt;0.01),Supuestos!$B$26,0)</f>
        <v/>
      </c>
      <c r="Q18" s="29">
        <f>IF(A18=Supuestos!$B$5,0,MIN(Supuestos!$B$25,N18+O18))</f>
        <v/>
      </c>
      <c r="R18" s="29">
        <f>$B$4*MIN(MAX(G18-AA18-L18,0),N18+O18-Q18)</f>
        <v/>
      </c>
      <c r="S18" s="29">
        <f>N18+O18-Q18-R18</f>
        <v/>
      </c>
      <c r="T18" s="29">
        <f>Z17</f>
        <v/>
      </c>
      <c r="U18" s="29">
        <f>IF(A18=Supuestos!$B$5,$B$3*Supuestos!$B$28,0)</f>
        <v/>
      </c>
      <c r="V18" s="29">
        <f>T18*Supuestos!$B$48</f>
        <v/>
      </c>
      <c r="W18" s="29">
        <f>IF(T18&gt;0.01,Supuestos!$B$58,0)</f>
        <v/>
      </c>
      <c r="X18" s="29">
        <f>MIN(Supuestos!$B$57,T18+V18)</f>
        <v/>
      </c>
      <c r="Y18" s="29">
        <f>$B$5*MIN(MAX(G18-AA18-L18-R18,0),T18+V18-X18)</f>
        <v/>
      </c>
      <c r="Z18" s="29">
        <f>T18+U18+V18-X18-Y18</f>
        <v/>
      </c>
      <c r="AA18" s="29">
        <f>J18+K18+P18+Q18+W18+X18</f>
        <v/>
      </c>
      <c r="AB18" s="29">
        <f>G18-AA18-L18-R18-Y18+U18-I18</f>
        <v/>
      </c>
      <c r="AC18" s="29">
        <f>AC17+AB18</f>
        <v/>
      </c>
      <c r="AD18" s="29">
        <f>M18+S18+Z18</f>
        <v/>
      </c>
      <c r="AE18" s="29">
        <f>J18+K18+O18+P18+V18+W18</f>
        <v/>
      </c>
      <c r="AF18" s="29">
        <f>AF17+AE18</f>
        <v/>
      </c>
      <c r="AG18" s="30">
        <f>IF(AD18&lt;0.01,1,0)</f>
        <v/>
      </c>
    </row>
    <row r="19">
      <c r="A19" s="27">
        <f>DATE(YEAR(A18),MONTH(A18)+1,1)</f>
        <v/>
      </c>
      <c r="B19" s="28">
        <f>IF(A19=Supuestos!$B$5,Supuestos!$B$7,Supuestos!$B$6)</f>
        <v/>
      </c>
      <c r="C19" s="29">
        <f>IF(A19=Supuestos!$B$16,Supuestos!$B$15,0)</f>
        <v/>
      </c>
      <c r="D19" s="28">
        <f>IF(A19=Supuestos!$B$5,Supuestos!$B$8,Supuestos!$B$43)</f>
        <v/>
      </c>
      <c r="E19" s="29">
        <f>IF(AND(A19&gt;Supuestos!$B$5,A19&lt;=Supuestos!$B$12),Supuestos!$B$11,0)</f>
        <v/>
      </c>
      <c r="F19" s="29">
        <f>IF(A19&gt;=Supuestos!$B$14,Supuestos!$B$13,0)</f>
        <v/>
      </c>
      <c r="G19" s="29">
        <f>B19+C19-D19-E19-F19</f>
        <v/>
      </c>
      <c r="H19" s="29">
        <f>M18</f>
        <v/>
      </c>
      <c r="I19" s="29">
        <f>MIN(U19,H19)</f>
        <v/>
      </c>
      <c r="J19" s="29">
        <f>(H19-I19)*Supuestos!$B$46</f>
        <v/>
      </c>
      <c r="K19" s="29">
        <f>IF(H19-I19&gt;0.01,MIN(Supuestos!$B$21,(H19-I19)*Supuestos!$B$20),0)</f>
        <v/>
      </c>
      <c r="L19" s="29">
        <f>MIN(MAX(G19-AA19,0),H19-I19)</f>
        <v/>
      </c>
      <c r="M19" s="29">
        <f>H19-I19-L19</f>
        <v/>
      </c>
      <c r="N19" s="29">
        <f>S18</f>
        <v/>
      </c>
      <c r="O19" s="29">
        <f>IF(A19=Supuestos!$B$5,0,N19*Supuestos!$B$47)</f>
        <v/>
      </c>
      <c r="P19" s="29">
        <f>IF(AND(A19&gt;Supuestos!$B$5,N19&gt;0.01),Supuestos!$B$26,0)</f>
        <v/>
      </c>
      <c r="Q19" s="29">
        <f>IF(A19=Supuestos!$B$5,0,MIN(Supuestos!$B$25,N19+O19))</f>
        <v/>
      </c>
      <c r="R19" s="29">
        <f>$B$4*MIN(MAX(G19-AA19-L19,0),N19+O19-Q19)</f>
        <v/>
      </c>
      <c r="S19" s="29">
        <f>N19+O19-Q19-R19</f>
        <v/>
      </c>
      <c r="T19" s="29">
        <f>Z18</f>
        <v/>
      </c>
      <c r="U19" s="29">
        <f>IF(A19=Supuestos!$B$5,$B$3*Supuestos!$B$28,0)</f>
        <v/>
      </c>
      <c r="V19" s="29">
        <f>T19*Supuestos!$B$48</f>
        <v/>
      </c>
      <c r="W19" s="29">
        <f>IF(T19&gt;0.01,Supuestos!$B$58,0)</f>
        <v/>
      </c>
      <c r="X19" s="29">
        <f>MIN(Supuestos!$B$57,T19+V19)</f>
        <v/>
      </c>
      <c r="Y19" s="29">
        <f>$B$5*MIN(MAX(G19-AA19-L19-R19,0),T19+V19-X19)</f>
        <v/>
      </c>
      <c r="Z19" s="29">
        <f>T19+U19+V19-X19-Y19</f>
        <v/>
      </c>
      <c r="AA19" s="29">
        <f>J19+K19+P19+Q19+W19+X19</f>
        <v/>
      </c>
      <c r="AB19" s="29">
        <f>G19-AA19-L19-R19-Y19+U19-I19</f>
        <v/>
      </c>
      <c r="AC19" s="29">
        <f>AC18+AB19</f>
        <v/>
      </c>
      <c r="AD19" s="29">
        <f>M19+S19+Z19</f>
        <v/>
      </c>
      <c r="AE19" s="29">
        <f>J19+K19+O19+P19+V19+W19</f>
        <v/>
      </c>
      <c r="AF19" s="29">
        <f>AF18+AE19</f>
        <v/>
      </c>
      <c r="AG19" s="30">
        <f>IF(AD19&lt;0.01,1,0)</f>
        <v/>
      </c>
    </row>
    <row r="20">
      <c r="A20" s="27">
        <f>DATE(YEAR(A19),MONTH(A19)+1,1)</f>
        <v/>
      </c>
      <c r="B20" s="28">
        <f>IF(A20=Supuestos!$B$5,Supuestos!$B$7,Supuestos!$B$6)</f>
        <v/>
      </c>
      <c r="C20" s="29">
        <f>IF(A20=Supuestos!$B$16,Supuestos!$B$15,0)</f>
        <v/>
      </c>
      <c r="D20" s="28">
        <f>IF(A20=Supuestos!$B$5,Supuestos!$B$8,Supuestos!$B$43)</f>
        <v/>
      </c>
      <c r="E20" s="29">
        <f>IF(AND(A20&gt;Supuestos!$B$5,A20&lt;=Supuestos!$B$12),Supuestos!$B$11,0)</f>
        <v/>
      </c>
      <c r="F20" s="29">
        <f>IF(A20&gt;=Supuestos!$B$14,Supuestos!$B$13,0)</f>
        <v/>
      </c>
      <c r="G20" s="29">
        <f>B20+C20-D20-E20-F20</f>
        <v/>
      </c>
      <c r="H20" s="29">
        <f>M19</f>
        <v/>
      </c>
      <c r="I20" s="29">
        <f>MIN(U20,H20)</f>
        <v/>
      </c>
      <c r="J20" s="29">
        <f>(H20-I20)*Supuestos!$B$46</f>
        <v/>
      </c>
      <c r="K20" s="29">
        <f>IF(H20-I20&gt;0.01,MIN(Supuestos!$B$21,(H20-I20)*Supuestos!$B$20),0)</f>
        <v/>
      </c>
      <c r="L20" s="29">
        <f>MIN(MAX(G20-AA20,0),H20-I20)</f>
        <v/>
      </c>
      <c r="M20" s="29">
        <f>H20-I20-L20</f>
        <v/>
      </c>
      <c r="N20" s="29">
        <f>S19</f>
        <v/>
      </c>
      <c r="O20" s="29">
        <f>IF(A20=Supuestos!$B$5,0,N20*Supuestos!$B$47)</f>
        <v/>
      </c>
      <c r="P20" s="29">
        <f>IF(AND(A20&gt;Supuestos!$B$5,N20&gt;0.01),Supuestos!$B$26,0)</f>
        <v/>
      </c>
      <c r="Q20" s="29">
        <f>IF(A20=Supuestos!$B$5,0,MIN(Supuestos!$B$25,N20+O20))</f>
        <v/>
      </c>
      <c r="R20" s="29">
        <f>$B$4*MIN(MAX(G20-AA20-L20,0),N20+O20-Q20)</f>
        <v/>
      </c>
      <c r="S20" s="29">
        <f>N20+O20-Q20-R20</f>
        <v/>
      </c>
      <c r="T20" s="29">
        <f>Z19</f>
        <v/>
      </c>
      <c r="U20" s="29">
        <f>IF(A20=Supuestos!$B$5,$B$3*Supuestos!$B$28,0)</f>
        <v/>
      </c>
      <c r="V20" s="29">
        <f>T20*Supuestos!$B$48</f>
        <v/>
      </c>
      <c r="W20" s="29">
        <f>IF(T20&gt;0.01,Supuestos!$B$58,0)</f>
        <v/>
      </c>
      <c r="X20" s="29">
        <f>MIN(Supuestos!$B$57,T20+V20)</f>
        <v/>
      </c>
      <c r="Y20" s="29">
        <f>$B$5*MIN(MAX(G20-AA20-L20-R20,0),T20+V20-X20)</f>
        <v/>
      </c>
      <c r="Z20" s="29">
        <f>T20+U20+V20-X20-Y20</f>
        <v/>
      </c>
      <c r="AA20" s="29">
        <f>J20+K20+P20+Q20+W20+X20</f>
        <v/>
      </c>
      <c r="AB20" s="29">
        <f>G20-AA20-L20-R20-Y20+U20-I20</f>
        <v/>
      </c>
      <c r="AC20" s="29">
        <f>AC19+AB20</f>
        <v/>
      </c>
      <c r="AD20" s="29">
        <f>M20+S20+Z20</f>
        <v/>
      </c>
      <c r="AE20" s="29">
        <f>J20+K20+O20+P20+V20+W20</f>
        <v/>
      </c>
      <c r="AF20" s="29">
        <f>AF19+AE20</f>
        <v/>
      </c>
      <c r="AG20" s="30">
        <f>IF(AD20&lt;0.01,1,0)</f>
        <v/>
      </c>
    </row>
    <row r="21">
      <c r="A21" s="27">
        <f>DATE(YEAR(A20),MONTH(A20)+1,1)</f>
        <v/>
      </c>
      <c r="B21" s="28">
        <f>IF(A21=Supuestos!$B$5,Supuestos!$B$7,Supuestos!$B$6)</f>
        <v/>
      </c>
      <c r="C21" s="29">
        <f>IF(A21=Supuestos!$B$16,Supuestos!$B$15,0)</f>
        <v/>
      </c>
      <c r="D21" s="28">
        <f>IF(A21=Supuestos!$B$5,Supuestos!$B$8,Supuestos!$B$43)</f>
        <v/>
      </c>
      <c r="E21" s="29">
        <f>IF(AND(A21&gt;Supuestos!$B$5,A21&lt;=Supuestos!$B$12),Supuestos!$B$11,0)</f>
        <v/>
      </c>
      <c r="F21" s="29">
        <f>IF(A21&gt;=Supuestos!$B$14,Supuestos!$B$13,0)</f>
        <v/>
      </c>
      <c r="G21" s="29">
        <f>B21+C21-D21-E21-F21</f>
        <v/>
      </c>
      <c r="H21" s="29">
        <f>M20</f>
        <v/>
      </c>
      <c r="I21" s="29">
        <f>MIN(U21,H21)</f>
        <v/>
      </c>
      <c r="J21" s="29">
        <f>(H21-I21)*Supuestos!$B$46</f>
        <v/>
      </c>
      <c r="K21" s="29">
        <f>IF(H21-I21&gt;0.01,MIN(Supuestos!$B$21,(H21-I21)*Supuestos!$B$20),0)</f>
        <v/>
      </c>
      <c r="L21" s="29">
        <f>MIN(MAX(G21-AA21,0),H21-I21)</f>
        <v/>
      </c>
      <c r="M21" s="29">
        <f>H21-I21-L21</f>
        <v/>
      </c>
      <c r="N21" s="29">
        <f>S20</f>
        <v/>
      </c>
      <c r="O21" s="29">
        <f>IF(A21=Supuestos!$B$5,0,N21*Supuestos!$B$47)</f>
        <v/>
      </c>
      <c r="P21" s="29">
        <f>IF(AND(A21&gt;Supuestos!$B$5,N21&gt;0.01),Supuestos!$B$26,0)</f>
        <v/>
      </c>
      <c r="Q21" s="29">
        <f>IF(A21=Supuestos!$B$5,0,MIN(Supuestos!$B$25,N21+O21))</f>
        <v/>
      </c>
      <c r="R21" s="29">
        <f>$B$4*MIN(MAX(G21-AA21-L21,0),N21+O21-Q21)</f>
        <v/>
      </c>
      <c r="S21" s="29">
        <f>N21+O21-Q21-R21</f>
        <v/>
      </c>
      <c r="T21" s="29">
        <f>Z20</f>
        <v/>
      </c>
      <c r="U21" s="29">
        <f>IF(A21=Supuestos!$B$5,$B$3*Supuestos!$B$28,0)</f>
        <v/>
      </c>
      <c r="V21" s="29">
        <f>T21*Supuestos!$B$48</f>
        <v/>
      </c>
      <c r="W21" s="29">
        <f>IF(T21&gt;0.01,Supuestos!$B$58,0)</f>
        <v/>
      </c>
      <c r="X21" s="29">
        <f>MIN(Supuestos!$B$57,T21+V21)</f>
        <v/>
      </c>
      <c r="Y21" s="29">
        <f>$B$5*MIN(MAX(G21-AA21-L21-R21,0),T21+V21-X21)</f>
        <v/>
      </c>
      <c r="Z21" s="29">
        <f>T21+U21+V21-X21-Y21</f>
        <v/>
      </c>
      <c r="AA21" s="29">
        <f>J21+K21+P21+Q21+W21+X21</f>
        <v/>
      </c>
      <c r="AB21" s="29">
        <f>G21-AA21-L21-R21-Y21+U21-I21</f>
        <v/>
      </c>
      <c r="AC21" s="29">
        <f>AC20+AB21</f>
        <v/>
      </c>
      <c r="AD21" s="29">
        <f>M21+S21+Z21</f>
        <v/>
      </c>
      <c r="AE21" s="29">
        <f>J21+K21+O21+P21+V21+W21</f>
        <v/>
      </c>
      <c r="AF21" s="29">
        <f>AF20+AE21</f>
        <v/>
      </c>
      <c r="AG21" s="30">
        <f>IF(AD21&lt;0.01,1,0)</f>
        <v/>
      </c>
    </row>
    <row r="22">
      <c r="A22" s="27">
        <f>DATE(YEAR(A21),MONTH(A21)+1,1)</f>
        <v/>
      </c>
      <c r="B22" s="28">
        <f>IF(A22=Supuestos!$B$5,Supuestos!$B$7,Supuestos!$B$6)</f>
        <v/>
      </c>
      <c r="C22" s="29">
        <f>IF(A22=Supuestos!$B$16,Supuestos!$B$15,0)</f>
        <v/>
      </c>
      <c r="D22" s="28">
        <f>IF(A22=Supuestos!$B$5,Supuestos!$B$8,Supuestos!$B$43)</f>
        <v/>
      </c>
      <c r="E22" s="29">
        <f>IF(AND(A22&gt;Supuestos!$B$5,A22&lt;=Supuestos!$B$12),Supuestos!$B$11,0)</f>
        <v/>
      </c>
      <c r="F22" s="29">
        <f>IF(A22&gt;=Supuestos!$B$14,Supuestos!$B$13,0)</f>
        <v/>
      </c>
      <c r="G22" s="29">
        <f>B22+C22-D22-E22-F22</f>
        <v/>
      </c>
      <c r="H22" s="29">
        <f>M21</f>
        <v/>
      </c>
      <c r="I22" s="29">
        <f>MIN(U22,H22)</f>
        <v/>
      </c>
      <c r="J22" s="29">
        <f>(H22-I22)*Supuestos!$B$46</f>
        <v/>
      </c>
      <c r="K22" s="29">
        <f>IF(H22-I22&gt;0.01,MIN(Supuestos!$B$21,(H22-I22)*Supuestos!$B$20),0)</f>
        <v/>
      </c>
      <c r="L22" s="29">
        <f>MIN(MAX(G22-AA22,0),H22-I22)</f>
        <v/>
      </c>
      <c r="M22" s="29">
        <f>H22-I22-L22</f>
        <v/>
      </c>
      <c r="N22" s="29">
        <f>S21</f>
        <v/>
      </c>
      <c r="O22" s="29">
        <f>IF(A22=Supuestos!$B$5,0,N22*Supuestos!$B$47)</f>
        <v/>
      </c>
      <c r="P22" s="29">
        <f>IF(AND(A22&gt;Supuestos!$B$5,N22&gt;0.01),Supuestos!$B$26,0)</f>
        <v/>
      </c>
      <c r="Q22" s="29">
        <f>IF(A22=Supuestos!$B$5,0,MIN(Supuestos!$B$25,N22+O22))</f>
        <v/>
      </c>
      <c r="R22" s="29">
        <f>$B$4*MIN(MAX(G22-AA22-L22,0),N22+O22-Q22)</f>
        <v/>
      </c>
      <c r="S22" s="29">
        <f>N22+O22-Q22-R22</f>
        <v/>
      </c>
      <c r="T22" s="29">
        <f>Z21</f>
        <v/>
      </c>
      <c r="U22" s="29">
        <f>IF(A22=Supuestos!$B$5,$B$3*Supuestos!$B$28,0)</f>
        <v/>
      </c>
      <c r="V22" s="29">
        <f>T22*Supuestos!$B$48</f>
        <v/>
      </c>
      <c r="W22" s="29">
        <f>IF(T22&gt;0.01,Supuestos!$B$58,0)</f>
        <v/>
      </c>
      <c r="X22" s="29">
        <f>MIN(Supuestos!$B$57,T22+V22)</f>
        <v/>
      </c>
      <c r="Y22" s="29">
        <f>$B$5*MIN(MAX(G22-AA22-L22-R22,0),T22+V22-X22)</f>
        <v/>
      </c>
      <c r="Z22" s="29">
        <f>T22+U22+V22-X22-Y22</f>
        <v/>
      </c>
      <c r="AA22" s="29">
        <f>J22+K22+P22+Q22+W22+X22</f>
        <v/>
      </c>
      <c r="AB22" s="29">
        <f>G22-AA22-L22-R22-Y22+U22-I22</f>
        <v/>
      </c>
      <c r="AC22" s="29">
        <f>AC21+AB22</f>
        <v/>
      </c>
      <c r="AD22" s="29">
        <f>M22+S22+Z22</f>
        <v/>
      </c>
      <c r="AE22" s="29">
        <f>J22+K22+O22+P22+V22+W22</f>
        <v/>
      </c>
      <c r="AF22" s="29">
        <f>AF21+AE22</f>
        <v/>
      </c>
      <c r="AG22" s="30">
        <f>IF(AD22&lt;0.01,1,0)</f>
        <v/>
      </c>
    </row>
    <row r="23">
      <c r="A23" s="27">
        <f>DATE(YEAR(A22),MONTH(A22)+1,1)</f>
        <v/>
      </c>
      <c r="B23" s="28">
        <f>IF(A23=Supuestos!$B$5,Supuestos!$B$7,Supuestos!$B$6)</f>
        <v/>
      </c>
      <c r="C23" s="29">
        <f>IF(A23=Supuestos!$B$16,Supuestos!$B$15,0)</f>
        <v/>
      </c>
      <c r="D23" s="28">
        <f>IF(A23=Supuestos!$B$5,Supuestos!$B$8,Supuestos!$B$43)</f>
        <v/>
      </c>
      <c r="E23" s="29">
        <f>IF(AND(A23&gt;Supuestos!$B$5,A23&lt;=Supuestos!$B$12),Supuestos!$B$11,0)</f>
        <v/>
      </c>
      <c r="F23" s="29">
        <f>IF(A23&gt;=Supuestos!$B$14,Supuestos!$B$13,0)</f>
        <v/>
      </c>
      <c r="G23" s="29">
        <f>B23+C23-D23-E23-F23</f>
        <v/>
      </c>
      <c r="H23" s="29">
        <f>M22</f>
        <v/>
      </c>
      <c r="I23" s="29">
        <f>MIN(U23,H23)</f>
        <v/>
      </c>
      <c r="J23" s="29">
        <f>(H23-I23)*Supuestos!$B$46</f>
        <v/>
      </c>
      <c r="K23" s="29">
        <f>IF(H23-I23&gt;0.01,MIN(Supuestos!$B$21,(H23-I23)*Supuestos!$B$20),0)</f>
        <v/>
      </c>
      <c r="L23" s="29">
        <f>MIN(MAX(G23-AA23,0),H23-I23)</f>
        <v/>
      </c>
      <c r="M23" s="29">
        <f>H23-I23-L23</f>
        <v/>
      </c>
      <c r="N23" s="29">
        <f>S22</f>
        <v/>
      </c>
      <c r="O23" s="29">
        <f>IF(A23=Supuestos!$B$5,0,N23*Supuestos!$B$47)</f>
        <v/>
      </c>
      <c r="P23" s="29">
        <f>IF(AND(A23&gt;Supuestos!$B$5,N23&gt;0.01),Supuestos!$B$26,0)</f>
        <v/>
      </c>
      <c r="Q23" s="29">
        <f>IF(A23=Supuestos!$B$5,0,MIN(Supuestos!$B$25,N23+O23))</f>
        <v/>
      </c>
      <c r="R23" s="29">
        <f>$B$4*MIN(MAX(G23-AA23-L23,0),N23+O23-Q23)</f>
        <v/>
      </c>
      <c r="S23" s="29">
        <f>N23+O23-Q23-R23</f>
        <v/>
      </c>
      <c r="T23" s="29">
        <f>Z22</f>
        <v/>
      </c>
      <c r="U23" s="29">
        <f>IF(A23=Supuestos!$B$5,$B$3*Supuestos!$B$28,0)</f>
        <v/>
      </c>
      <c r="V23" s="29">
        <f>T23*Supuestos!$B$48</f>
        <v/>
      </c>
      <c r="W23" s="29">
        <f>IF(T23&gt;0.01,Supuestos!$B$58,0)</f>
        <v/>
      </c>
      <c r="X23" s="29">
        <f>MIN(Supuestos!$B$57,T23+V23)</f>
        <v/>
      </c>
      <c r="Y23" s="29">
        <f>$B$5*MIN(MAX(G23-AA23-L23-R23,0),T23+V23-X23)</f>
        <v/>
      </c>
      <c r="Z23" s="29">
        <f>T23+U23+V23-X23-Y23</f>
        <v/>
      </c>
      <c r="AA23" s="29">
        <f>J23+K23+P23+Q23+W23+X23</f>
        <v/>
      </c>
      <c r="AB23" s="29">
        <f>G23-AA23-L23-R23-Y23+U23-I23</f>
        <v/>
      </c>
      <c r="AC23" s="29">
        <f>AC22+AB23</f>
        <v/>
      </c>
      <c r="AD23" s="29">
        <f>M23+S23+Z23</f>
        <v/>
      </c>
      <c r="AE23" s="29">
        <f>J23+K23+O23+P23+V23+W23</f>
        <v/>
      </c>
      <c r="AF23" s="29">
        <f>AF22+AE23</f>
        <v/>
      </c>
      <c r="AG23" s="30">
        <f>IF(AD23&lt;0.01,1,0)</f>
        <v/>
      </c>
    </row>
    <row r="24">
      <c r="A24" s="27">
        <f>DATE(YEAR(A23),MONTH(A23)+1,1)</f>
        <v/>
      </c>
      <c r="B24" s="28">
        <f>IF(A24=Supuestos!$B$5,Supuestos!$B$7,Supuestos!$B$6)</f>
        <v/>
      </c>
      <c r="C24" s="29">
        <f>IF(A24=Supuestos!$B$16,Supuestos!$B$15,0)</f>
        <v/>
      </c>
      <c r="D24" s="28">
        <f>IF(A24=Supuestos!$B$5,Supuestos!$B$8,Supuestos!$B$43)</f>
        <v/>
      </c>
      <c r="E24" s="29">
        <f>IF(AND(A24&gt;Supuestos!$B$5,A24&lt;=Supuestos!$B$12),Supuestos!$B$11,0)</f>
        <v/>
      </c>
      <c r="F24" s="29">
        <f>IF(A24&gt;=Supuestos!$B$14,Supuestos!$B$13,0)</f>
        <v/>
      </c>
      <c r="G24" s="29">
        <f>B24+C24-D24-E24-F24</f>
        <v/>
      </c>
      <c r="H24" s="29">
        <f>M23</f>
        <v/>
      </c>
      <c r="I24" s="29">
        <f>MIN(U24,H24)</f>
        <v/>
      </c>
      <c r="J24" s="29">
        <f>(H24-I24)*Supuestos!$B$46</f>
        <v/>
      </c>
      <c r="K24" s="29">
        <f>IF(H24-I24&gt;0.01,MIN(Supuestos!$B$21,(H24-I24)*Supuestos!$B$20),0)</f>
        <v/>
      </c>
      <c r="L24" s="29">
        <f>MIN(MAX(G24-AA24,0),H24-I24)</f>
        <v/>
      </c>
      <c r="M24" s="29">
        <f>H24-I24-L24</f>
        <v/>
      </c>
      <c r="N24" s="29">
        <f>S23</f>
        <v/>
      </c>
      <c r="O24" s="29">
        <f>IF(A24=Supuestos!$B$5,0,N24*Supuestos!$B$47)</f>
        <v/>
      </c>
      <c r="P24" s="29">
        <f>IF(AND(A24&gt;Supuestos!$B$5,N24&gt;0.01),Supuestos!$B$26,0)</f>
        <v/>
      </c>
      <c r="Q24" s="29">
        <f>IF(A24=Supuestos!$B$5,0,MIN(Supuestos!$B$25,N24+O24))</f>
        <v/>
      </c>
      <c r="R24" s="29">
        <f>$B$4*MIN(MAX(G24-AA24-L24,0),N24+O24-Q24)</f>
        <v/>
      </c>
      <c r="S24" s="29">
        <f>N24+O24-Q24-R24</f>
        <v/>
      </c>
      <c r="T24" s="29">
        <f>Z23</f>
        <v/>
      </c>
      <c r="U24" s="29">
        <f>IF(A24=Supuestos!$B$5,$B$3*Supuestos!$B$28,0)</f>
        <v/>
      </c>
      <c r="V24" s="29">
        <f>T24*Supuestos!$B$48</f>
        <v/>
      </c>
      <c r="W24" s="29">
        <f>IF(T24&gt;0.01,Supuestos!$B$58,0)</f>
        <v/>
      </c>
      <c r="X24" s="29">
        <f>MIN(Supuestos!$B$57,T24+V24)</f>
        <v/>
      </c>
      <c r="Y24" s="29">
        <f>$B$5*MIN(MAX(G24-AA24-L24-R24,0),T24+V24-X24)</f>
        <v/>
      </c>
      <c r="Z24" s="29">
        <f>T24+U24+V24-X24-Y24</f>
        <v/>
      </c>
      <c r="AA24" s="29">
        <f>J24+K24+P24+Q24+W24+X24</f>
        <v/>
      </c>
      <c r="AB24" s="29">
        <f>G24-AA24-L24-R24-Y24+U24-I24</f>
        <v/>
      </c>
      <c r="AC24" s="29">
        <f>AC23+AB24</f>
        <v/>
      </c>
      <c r="AD24" s="29">
        <f>M24+S24+Z24</f>
        <v/>
      </c>
      <c r="AE24" s="29">
        <f>J24+K24+O24+P24+V24+W24</f>
        <v/>
      </c>
      <c r="AF24" s="29">
        <f>AF23+AE24</f>
        <v/>
      </c>
      <c r="AG24" s="30">
        <f>IF(AD24&lt;0.01,1,0)</f>
        <v/>
      </c>
    </row>
    <row r="25">
      <c r="A25" s="27">
        <f>DATE(YEAR(A24),MONTH(A24)+1,1)</f>
        <v/>
      </c>
      <c r="B25" s="28">
        <f>IF(A25=Supuestos!$B$5,Supuestos!$B$7,Supuestos!$B$6)</f>
        <v/>
      </c>
      <c r="C25" s="29">
        <f>IF(A25=Supuestos!$B$16,Supuestos!$B$15,0)</f>
        <v/>
      </c>
      <c r="D25" s="28">
        <f>IF(A25=Supuestos!$B$5,Supuestos!$B$8,Supuestos!$B$43)</f>
        <v/>
      </c>
      <c r="E25" s="29">
        <f>IF(AND(A25&gt;Supuestos!$B$5,A25&lt;=Supuestos!$B$12),Supuestos!$B$11,0)</f>
        <v/>
      </c>
      <c r="F25" s="29">
        <f>IF(A25&gt;=Supuestos!$B$14,Supuestos!$B$13,0)</f>
        <v/>
      </c>
      <c r="G25" s="29">
        <f>B25+C25-D25-E25-F25</f>
        <v/>
      </c>
      <c r="H25" s="29">
        <f>M24</f>
        <v/>
      </c>
      <c r="I25" s="29">
        <f>MIN(U25,H25)</f>
        <v/>
      </c>
      <c r="J25" s="29">
        <f>(H25-I25)*Supuestos!$B$46</f>
        <v/>
      </c>
      <c r="K25" s="29">
        <f>IF(H25-I25&gt;0.01,MIN(Supuestos!$B$21,(H25-I25)*Supuestos!$B$20),0)</f>
        <v/>
      </c>
      <c r="L25" s="29">
        <f>MIN(MAX(G25-AA25,0),H25-I25)</f>
        <v/>
      </c>
      <c r="M25" s="29">
        <f>H25-I25-L25</f>
        <v/>
      </c>
      <c r="N25" s="29">
        <f>S24</f>
        <v/>
      </c>
      <c r="O25" s="29">
        <f>IF(A25=Supuestos!$B$5,0,N25*Supuestos!$B$47)</f>
        <v/>
      </c>
      <c r="P25" s="29">
        <f>IF(AND(A25&gt;Supuestos!$B$5,N25&gt;0.01),Supuestos!$B$26,0)</f>
        <v/>
      </c>
      <c r="Q25" s="29">
        <f>IF(A25=Supuestos!$B$5,0,MIN(Supuestos!$B$25,N25+O25))</f>
        <v/>
      </c>
      <c r="R25" s="29">
        <f>$B$4*MIN(MAX(G25-AA25-L25,0),N25+O25-Q25)</f>
        <v/>
      </c>
      <c r="S25" s="29">
        <f>N25+O25-Q25-R25</f>
        <v/>
      </c>
      <c r="T25" s="29">
        <f>Z24</f>
        <v/>
      </c>
      <c r="U25" s="29">
        <f>IF(A25=Supuestos!$B$5,$B$3*Supuestos!$B$28,0)</f>
        <v/>
      </c>
      <c r="V25" s="29">
        <f>T25*Supuestos!$B$48</f>
        <v/>
      </c>
      <c r="W25" s="29">
        <f>IF(T25&gt;0.01,Supuestos!$B$58,0)</f>
        <v/>
      </c>
      <c r="X25" s="29">
        <f>MIN(Supuestos!$B$57,T25+V25)</f>
        <v/>
      </c>
      <c r="Y25" s="29">
        <f>$B$5*MIN(MAX(G25-AA25-L25-R25,0),T25+V25-X25)</f>
        <v/>
      </c>
      <c r="Z25" s="29">
        <f>T25+U25+V25-X25-Y25</f>
        <v/>
      </c>
      <c r="AA25" s="29">
        <f>J25+K25+P25+Q25+W25+X25</f>
        <v/>
      </c>
      <c r="AB25" s="29">
        <f>G25-AA25-L25-R25-Y25+U25-I25</f>
        <v/>
      </c>
      <c r="AC25" s="29">
        <f>AC24+AB25</f>
        <v/>
      </c>
      <c r="AD25" s="29">
        <f>M25+S25+Z25</f>
        <v/>
      </c>
      <c r="AE25" s="29">
        <f>J25+K25+O25+P25+V25+W25</f>
        <v/>
      </c>
      <c r="AF25" s="29">
        <f>AF24+AE25</f>
        <v/>
      </c>
      <c r="AG25" s="30">
        <f>IF(AD25&lt;0.01,1,0)</f>
        <v/>
      </c>
    </row>
    <row r="26">
      <c r="A26" s="27">
        <f>DATE(YEAR(A25),MONTH(A25)+1,1)</f>
        <v/>
      </c>
      <c r="B26" s="28">
        <f>IF(A26=Supuestos!$B$5,Supuestos!$B$7,Supuestos!$B$6)</f>
        <v/>
      </c>
      <c r="C26" s="29">
        <f>IF(A26=Supuestos!$B$16,Supuestos!$B$15,0)</f>
        <v/>
      </c>
      <c r="D26" s="28">
        <f>IF(A26=Supuestos!$B$5,Supuestos!$B$8,Supuestos!$B$43)</f>
        <v/>
      </c>
      <c r="E26" s="29">
        <f>IF(AND(A26&gt;Supuestos!$B$5,A26&lt;=Supuestos!$B$12),Supuestos!$B$11,0)</f>
        <v/>
      </c>
      <c r="F26" s="29">
        <f>IF(A26&gt;=Supuestos!$B$14,Supuestos!$B$13,0)</f>
        <v/>
      </c>
      <c r="G26" s="29">
        <f>B26+C26-D26-E26-F26</f>
        <v/>
      </c>
      <c r="H26" s="29">
        <f>M25</f>
        <v/>
      </c>
      <c r="I26" s="29">
        <f>MIN(U26,H26)</f>
        <v/>
      </c>
      <c r="J26" s="29">
        <f>(H26-I26)*Supuestos!$B$46</f>
        <v/>
      </c>
      <c r="K26" s="29">
        <f>IF(H26-I26&gt;0.01,MIN(Supuestos!$B$21,(H26-I26)*Supuestos!$B$20),0)</f>
        <v/>
      </c>
      <c r="L26" s="29">
        <f>MIN(MAX(G26-AA26,0),H26-I26)</f>
        <v/>
      </c>
      <c r="M26" s="29">
        <f>H26-I26-L26</f>
        <v/>
      </c>
      <c r="N26" s="29">
        <f>S25</f>
        <v/>
      </c>
      <c r="O26" s="29">
        <f>IF(A26=Supuestos!$B$5,0,N26*Supuestos!$B$47)</f>
        <v/>
      </c>
      <c r="P26" s="29">
        <f>IF(AND(A26&gt;Supuestos!$B$5,N26&gt;0.01),Supuestos!$B$26,0)</f>
        <v/>
      </c>
      <c r="Q26" s="29">
        <f>IF(A26=Supuestos!$B$5,0,MIN(Supuestos!$B$25,N26+O26))</f>
        <v/>
      </c>
      <c r="R26" s="29">
        <f>$B$4*MIN(MAX(G26-AA26-L26,0),N26+O26-Q26)</f>
        <v/>
      </c>
      <c r="S26" s="29">
        <f>N26+O26-Q26-R26</f>
        <v/>
      </c>
      <c r="T26" s="29">
        <f>Z25</f>
        <v/>
      </c>
      <c r="U26" s="29">
        <f>IF(A26=Supuestos!$B$5,$B$3*Supuestos!$B$28,0)</f>
        <v/>
      </c>
      <c r="V26" s="29">
        <f>T26*Supuestos!$B$48</f>
        <v/>
      </c>
      <c r="W26" s="29">
        <f>IF(T26&gt;0.01,Supuestos!$B$58,0)</f>
        <v/>
      </c>
      <c r="X26" s="29">
        <f>MIN(Supuestos!$B$57,T26+V26)</f>
        <v/>
      </c>
      <c r="Y26" s="29">
        <f>$B$5*MIN(MAX(G26-AA26-L26-R26,0),T26+V26-X26)</f>
        <v/>
      </c>
      <c r="Z26" s="29">
        <f>T26+U26+V26-X26-Y26</f>
        <v/>
      </c>
      <c r="AA26" s="29">
        <f>J26+K26+P26+Q26+W26+X26</f>
        <v/>
      </c>
      <c r="AB26" s="29">
        <f>G26-AA26-L26-R26-Y26+U26-I26</f>
        <v/>
      </c>
      <c r="AC26" s="29">
        <f>AC25+AB26</f>
        <v/>
      </c>
      <c r="AD26" s="29">
        <f>M26+S26+Z26</f>
        <v/>
      </c>
      <c r="AE26" s="29">
        <f>J26+K26+O26+P26+V26+W26</f>
        <v/>
      </c>
      <c r="AF26" s="29">
        <f>AF25+AE26</f>
        <v/>
      </c>
      <c r="AG26" s="30">
        <f>IF(AD26&lt;0.01,1,0)</f>
        <v/>
      </c>
    </row>
    <row r="27">
      <c r="A27" s="27">
        <f>DATE(YEAR(A26),MONTH(A26)+1,1)</f>
        <v/>
      </c>
      <c r="B27" s="28">
        <f>IF(A27=Supuestos!$B$5,Supuestos!$B$7,Supuestos!$B$6)</f>
        <v/>
      </c>
      <c r="C27" s="29">
        <f>IF(A27=Supuestos!$B$16,Supuestos!$B$15,0)</f>
        <v/>
      </c>
      <c r="D27" s="28">
        <f>IF(A27=Supuestos!$B$5,Supuestos!$B$8,Supuestos!$B$43)</f>
        <v/>
      </c>
      <c r="E27" s="29">
        <f>IF(AND(A27&gt;Supuestos!$B$5,A27&lt;=Supuestos!$B$12),Supuestos!$B$11,0)</f>
        <v/>
      </c>
      <c r="F27" s="29">
        <f>IF(A27&gt;=Supuestos!$B$14,Supuestos!$B$13,0)</f>
        <v/>
      </c>
      <c r="G27" s="29">
        <f>B27+C27-D27-E27-F27</f>
        <v/>
      </c>
      <c r="H27" s="29">
        <f>M26</f>
        <v/>
      </c>
      <c r="I27" s="29">
        <f>MIN(U27,H27)</f>
        <v/>
      </c>
      <c r="J27" s="29">
        <f>(H27-I27)*Supuestos!$B$46</f>
        <v/>
      </c>
      <c r="K27" s="29">
        <f>IF(H27-I27&gt;0.01,MIN(Supuestos!$B$21,(H27-I27)*Supuestos!$B$20),0)</f>
        <v/>
      </c>
      <c r="L27" s="29">
        <f>MIN(MAX(G27-AA27,0),H27-I27)</f>
        <v/>
      </c>
      <c r="M27" s="29">
        <f>H27-I27-L27</f>
        <v/>
      </c>
      <c r="N27" s="29">
        <f>S26</f>
        <v/>
      </c>
      <c r="O27" s="29">
        <f>IF(A27=Supuestos!$B$5,0,N27*Supuestos!$B$47)</f>
        <v/>
      </c>
      <c r="P27" s="29">
        <f>IF(AND(A27&gt;Supuestos!$B$5,N27&gt;0.01),Supuestos!$B$26,0)</f>
        <v/>
      </c>
      <c r="Q27" s="29">
        <f>IF(A27=Supuestos!$B$5,0,MIN(Supuestos!$B$25,N27+O27))</f>
        <v/>
      </c>
      <c r="R27" s="29">
        <f>$B$4*MIN(MAX(G27-AA27-L27,0),N27+O27-Q27)</f>
        <v/>
      </c>
      <c r="S27" s="29">
        <f>N27+O27-Q27-R27</f>
        <v/>
      </c>
      <c r="T27" s="29">
        <f>Z26</f>
        <v/>
      </c>
      <c r="U27" s="29">
        <f>IF(A27=Supuestos!$B$5,$B$3*Supuestos!$B$28,0)</f>
        <v/>
      </c>
      <c r="V27" s="29">
        <f>T27*Supuestos!$B$48</f>
        <v/>
      </c>
      <c r="W27" s="29">
        <f>IF(T27&gt;0.01,Supuestos!$B$58,0)</f>
        <v/>
      </c>
      <c r="X27" s="29">
        <f>MIN(Supuestos!$B$57,T27+V27)</f>
        <v/>
      </c>
      <c r="Y27" s="29">
        <f>$B$5*MIN(MAX(G27-AA27-L27-R27,0),T27+V27-X27)</f>
        <v/>
      </c>
      <c r="Z27" s="29">
        <f>T27+U27+V27-X27-Y27</f>
        <v/>
      </c>
      <c r="AA27" s="29">
        <f>J27+K27+P27+Q27+W27+X27</f>
        <v/>
      </c>
      <c r="AB27" s="29">
        <f>G27-AA27-L27-R27-Y27+U27-I27</f>
        <v/>
      </c>
      <c r="AC27" s="29">
        <f>AC26+AB27</f>
        <v/>
      </c>
      <c r="AD27" s="29">
        <f>M27+S27+Z27</f>
        <v/>
      </c>
      <c r="AE27" s="29">
        <f>J27+K27+O27+P27+V27+W27</f>
        <v/>
      </c>
      <c r="AF27" s="29">
        <f>AF26+AE27</f>
        <v/>
      </c>
      <c r="AG27" s="30">
        <f>IF(AD27&lt;0.01,1,0)</f>
        <v/>
      </c>
    </row>
    <row r="28">
      <c r="A28" s="27">
        <f>DATE(YEAR(A27),MONTH(A27)+1,1)</f>
        <v/>
      </c>
      <c r="B28" s="28">
        <f>IF(A28=Supuestos!$B$5,Supuestos!$B$7,Supuestos!$B$6)</f>
        <v/>
      </c>
      <c r="C28" s="29">
        <f>IF(A28=Supuestos!$B$16,Supuestos!$B$15,0)</f>
        <v/>
      </c>
      <c r="D28" s="28">
        <f>IF(A28=Supuestos!$B$5,Supuestos!$B$8,Supuestos!$B$43)</f>
        <v/>
      </c>
      <c r="E28" s="29">
        <f>IF(AND(A28&gt;Supuestos!$B$5,A28&lt;=Supuestos!$B$12),Supuestos!$B$11,0)</f>
        <v/>
      </c>
      <c r="F28" s="29">
        <f>IF(A28&gt;=Supuestos!$B$14,Supuestos!$B$13,0)</f>
        <v/>
      </c>
      <c r="G28" s="29">
        <f>B28+C28-D28-E28-F28</f>
        <v/>
      </c>
      <c r="H28" s="29">
        <f>M27</f>
        <v/>
      </c>
      <c r="I28" s="29">
        <f>MIN(U28,H28)</f>
        <v/>
      </c>
      <c r="J28" s="29">
        <f>(H28-I28)*Supuestos!$B$46</f>
        <v/>
      </c>
      <c r="K28" s="29">
        <f>IF(H28-I28&gt;0.01,MIN(Supuestos!$B$21,(H28-I28)*Supuestos!$B$20),0)</f>
        <v/>
      </c>
      <c r="L28" s="29">
        <f>MIN(MAX(G28-AA28,0),H28-I28)</f>
        <v/>
      </c>
      <c r="M28" s="29">
        <f>H28-I28-L28</f>
        <v/>
      </c>
      <c r="N28" s="29">
        <f>S27</f>
        <v/>
      </c>
      <c r="O28" s="29">
        <f>IF(A28=Supuestos!$B$5,0,N28*Supuestos!$B$47)</f>
        <v/>
      </c>
      <c r="P28" s="29">
        <f>IF(AND(A28&gt;Supuestos!$B$5,N28&gt;0.01),Supuestos!$B$26,0)</f>
        <v/>
      </c>
      <c r="Q28" s="29">
        <f>IF(A28=Supuestos!$B$5,0,MIN(Supuestos!$B$25,N28+O28))</f>
        <v/>
      </c>
      <c r="R28" s="29">
        <f>$B$4*MIN(MAX(G28-AA28-L28,0),N28+O28-Q28)</f>
        <v/>
      </c>
      <c r="S28" s="29">
        <f>N28+O28-Q28-R28</f>
        <v/>
      </c>
      <c r="T28" s="29">
        <f>Z27</f>
        <v/>
      </c>
      <c r="U28" s="29">
        <f>IF(A28=Supuestos!$B$5,$B$3*Supuestos!$B$28,0)</f>
        <v/>
      </c>
      <c r="V28" s="29">
        <f>T28*Supuestos!$B$48</f>
        <v/>
      </c>
      <c r="W28" s="29">
        <f>IF(T28&gt;0.01,Supuestos!$B$58,0)</f>
        <v/>
      </c>
      <c r="X28" s="29">
        <f>MIN(Supuestos!$B$57,T28+V28)</f>
        <v/>
      </c>
      <c r="Y28" s="29">
        <f>$B$5*MIN(MAX(G28-AA28-L28-R28,0),T28+V28-X28)</f>
        <v/>
      </c>
      <c r="Z28" s="29">
        <f>T28+U28+V28-X28-Y28</f>
        <v/>
      </c>
      <c r="AA28" s="29">
        <f>J28+K28+P28+Q28+W28+X28</f>
        <v/>
      </c>
      <c r="AB28" s="29">
        <f>G28-AA28-L28-R28-Y28+U28-I28</f>
        <v/>
      </c>
      <c r="AC28" s="29">
        <f>AC27+AB28</f>
        <v/>
      </c>
      <c r="AD28" s="29">
        <f>M28+S28+Z28</f>
        <v/>
      </c>
      <c r="AE28" s="29">
        <f>J28+K28+O28+P28+V28+W28</f>
        <v/>
      </c>
      <c r="AF28" s="29">
        <f>AF27+AE28</f>
        <v/>
      </c>
      <c r="AG28" s="30">
        <f>IF(AD28&lt;0.01,1,0)</f>
        <v/>
      </c>
    </row>
    <row r="29">
      <c r="A29" s="27">
        <f>DATE(YEAR(A28),MONTH(A28)+1,1)</f>
        <v/>
      </c>
      <c r="B29" s="28">
        <f>IF(A29=Supuestos!$B$5,Supuestos!$B$7,Supuestos!$B$6)</f>
        <v/>
      </c>
      <c r="C29" s="29">
        <f>IF(A29=Supuestos!$B$16,Supuestos!$B$15,0)</f>
        <v/>
      </c>
      <c r="D29" s="28">
        <f>IF(A29=Supuestos!$B$5,Supuestos!$B$8,Supuestos!$B$43)</f>
        <v/>
      </c>
      <c r="E29" s="29">
        <f>IF(AND(A29&gt;Supuestos!$B$5,A29&lt;=Supuestos!$B$12),Supuestos!$B$11,0)</f>
        <v/>
      </c>
      <c r="F29" s="29">
        <f>IF(A29&gt;=Supuestos!$B$14,Supuestos!$B$13,0)</f>
        <v/>
      </c>
      <c r="G29" s="29">
        <f>B29+C29-D29-E29-F29</f>
        <v/>
      </c>
      <c r="H29" s="29">
        <f>M28</f>
        <v/>
      </c>
      <c r="I29" s="29">
        <f>MIN(U29,H29)</f>
        <v/>
      </c>
      <c r="J29" s="29">
        <f>(H29-I29)*Supuestos!$B$46</f>
        <v/>
      </c>
      <c r="K29" s="29">
        <f>IF(H29-I29&gt;0.01,MIN(Supuestos!$B$21,(H29-I29)*Supuestos!$B$20),0)</f>
        <v/>
      </c>
      <c r="L29" s="29">
        <f>MIN(MAX(G29-AA29,0),H29-I29)</f>
        <v/>
      </c>
      <c r="M29" s="29">
        <f>H29-I29-L29</f>
        <v/>
      </c>
      <c r="N29" s="29">
        <f>S28</f>
        <v/>
      </c>
      <c r="O29" s="29">
        <f>IF(A29=Supuestos!$B$5,0,N29*Supuestos!$B$47)</f>
        <v/>
      </c>
      <c r="P29" s="29">
        <f>IF(AND(A29&gt;Supuestos!$B$5,N29&gt;0.01),Supuestos!$B$26,0)</f>
        <v/>
      </c>
      <c r="Q29" s="29">
        <f>IF(A29=Supuestos!$B$5,0,MIN(Supuestos!$B$25,N29+O29))</f>
        <v/>
      </c>
      <c r="R29" s="29">
        <f>$B$4*MIN(MAX(G29-AA29-L29,0),N29+O29-Q29)</f>
        <v/>
      </c>
      <c r="S29" s="29">
        <f>N29+O29-Q29-R29</f>
        <v/>
      </c>
      <c r="T29" s="29">
        <f>Z28</f>
        <v/>
      </c>
      <c r="U29" s="29">
        <f>IF(A29=Supuestos!$B$5,$B$3*Supuestos!$B$28,0)</f>
        <v/>
      </c>
      <c r="V29" s="29">
        <f>T29*Supuestos!$B$48</f>
        <v/>
      </c>
      <c r="W29" s="29">
        <f>IF(T29&gt;0.01,Supuestos!$B$58,0)</f>
        <v/>
      </c>
      <c r="X29" s="29">
        <f>MIN(Supuestos!$B$57,T29+V29)</f>
        <v/>
      </c>
      <c r="Y29" s="29">
        <f>$B$5*MIN(MAX(G29-AA29-L29-R29,0),T29+V29-X29)</f>
        <v/>
      </c>
      <c r="Z29" s="29">
        <f>T29+U29+V29-X29-Y29</f>
        <v/>
      </c>
      <c r="AA29" s="29">
        <f>J29+K29+P29+Q29+W29+X29</f>
        <v/>
      </c>
      <c r="AB29" s="29">
        <f>G29-AA29-L29-R29-Y29+U29-I29</f>
        <v/>
      </c>
      <c r="AC29" s="29">
        <f>AC28+AB29</f>
        <v/>
      </c>
      <c r="AD29" s="29">
        <f>M29+S29+Z29</f>
        <v/>
      </c>
      <c r="AE29" s="29">
        <f>J29+K29+O29+P29+V29+W29</f>
        <v/>
      </c>
      <c r="AF29" s="29">
        <f>AF28+AE29</f>
        <v/>
      </c>
      <c r="AG29" s="30">
        <f>IF(AD29&lt;0.01,1,0)</f>
        <v/>
      </c>
    </row>
    <row r="30">
      <c r="A30" s="27">
        <f>DATE(YEAR(A29),MONTH(A29)+1,1)</f>
        <v/>
      </c>
      <c r="B30" s="28">
        <f>IF(A30=Supuestos!$B$5,Supuestos!$B$7,Supuestos!$B$6)</f>
        <v/>
      </c>
      <c r="C30" s="29">
        <f>IF(A30=Supuestos!$B$16,Supuestos!$B$15,0)</f>
        <v/>
      </c>
      <c r="D30" s="28">
        <f>IF(A30=Supuestos!$B$5,Supuestos!$B$8,Supuestos!$B$43)</f>
        <v/>
      </c>
      <c r="E30" s="29">
        <f>IF(AND(A30&gt;Supuestos!$B$5,A30&lt;=Supuestos!$B$12),Supuestos!$B$11,0)</f>
        <v/>
      </c>
      <c r="F30" s="29">
        <f>IF(A30&gt;=Supuestos!$B$14,Supuestos!$B$13,0)</f>
        <v/>
      </c>
      <c r="G30" s="29">
        <f>B30+C30-D30-E30-F30</f>
        <v/>
      </c>
      <c r="H30" s="29">
        <f>M29</f>
        <v/>
      </c>
      <c r="I30" s="29">
        <f>MIN(U30,H30)</f>
        <v/>
      </c>
      <c r="J30" s="29">
        <f>(H30-I30)*Supuestos!$B$46</f>
        <v/>
      </c>
      <c r="K30" s="29">
        <f>IF(H30-I30&gt;0.01,MIN(Supuestos!$B$21,(H30-I30)*Supuestos!$B$20),0)</f>
        <v/>
      </c>
      <c r="L30" s="29">
        <f>MIN(MAX(G30-AA30,0),H30-I30)</f>
        <v/>
      </c>
      <c r="M30" s="29">
        <f>H30-I30-L30</f>
        <v/>
      </c>
      <c r="N30" s="29">
        <f>S29</f>
        <v/>
      </c>
      <c r="O30" s="29">
        <f>IF(A30=Supuestos!$B$5,0,N30*Supuestos!$B$47)</f>
        <v/>
      </c>
      <c r="P30" s="29">
        <f>IF(AND(A30&gt;Supuestos!$B$5,N30&gt;0.01),Supuestos!$B$26,0)</f>
        <v/>
      </c>
      <c r="Q30" s="29">
        <f>IF(A30=Supuestos!$B$5,0,MIN(Supuestos!$B$25,N30+O30))</f>
        <v/>
      </c>
      <c r="R30" s="29">
        <f>$B$4*MIN(MAX(G30-AA30-L30,0),N30+O30-Q30)</f>
        <v/>
      </c>
      <c r="S30" s="29">
        <f>N30+O30-Q30-R30</f>
        <v/>
      </c>
      <c r="T30" s="29">
        <f>Z29</f>
        <v/>
      </c>
      <c r="U30" s="29">
        <f>IF(A30=Supuestos!$B$5,$B$3*Supuestos!$B$28,0)</f>
        <v/>
      </c>
      <c r="V30" s="29">
        <f>T30*Supuestos!$B$48</f>
        <v/>
      </c>
      <c r="W30" s="29">
        <f>IF(T30&gt;0.01,Supuestos!$B$58,0)</f>
        <v/>
      </c>
      <c r="X30" s="29">
        <f>MIN(Supuestos!$B$57,T30+V30)</f>
        <v/>
      </c>
      <c r="Y30" s="29">
        <f>$B$5*MIN(MAX(G30-AA30-L30-R30,0),T30+V30-X30)</f>
        <v/>
      </c>
      <c r="Z30" s="29">
        <f>T30+U30+V30-X30-Y30</f>
        <v/>
      </c>
      <c r="AA30" s="29">
        <f>J30+K30+P30+Q30+W30+X30</f>
        <v/>
      </c>
      <c r="AB30" s="29">
        <f>G30-AA30-L30-R30-Y30+U30-I30</f>
        <v/>
      </c>
      <c r="AC30" s="29">
        <f>AC29+AB30</f>
        <v/>
      </c>
      <c r="AD30" s="29">
        <f>M30+S30+Z30</f>
        <v/>
      </c>
      <c r="AE30" s="29">
        <f>J30+K30+O30+P30+V30+W30</f>
        <v/>
      </c>
      <c r="AF30" s="29">
        <f>AF29+AE30</f>
        <v/>
      </c>
      <c r="AG30" s="30">
        <f>IF(AD30&lt;0.01,1,0)</f>
        <v/>
      </c>
    </row>
    <row r="31">
      <c r="A31" s="27">
        <f>DATE(YEAR(A30),MONTH(A30)+1,1)</f>
        <v/>
      </c>
      <c r="B31" s="28">
        <f>IF(A31=Supuestos!$B$5,Supuestos!$B$7,Supuestos!$B$6)</f>
        <v/>
      </c>
      <c r="C31" s="29">
        <f>IF(A31=Supuestos!$B$16,Supuestos!$B$15,0)</f>
        <v/>
      </c>
      <c r="D31" s="28">
        <f>IF(A31=Supuestos!$B$5,Supuestos!$B$8,Supuestos!$B$43)</f>
        <v/>
      </c>
      <c r="E31" s="29">
        <f>IF(AND(A31&gt;Supuestos!$B$5,A31&lt;=Supuestos!$B$12),Supuestos!$B$11,0)</f>
        <v/>
      </c>
      <c r="F31" s="29">
        <f>IF(A31&gt;=Supuestos!$B$14,Supuestos!$B$13,0)</f>
        <v/>
      </c>
      <c r="G31" s="29">
        <f>B31+C31-D31-E31-F31</f>
        <v/>
      </c>
      <c r="H31" s="29">
        <f>M30</f>
        <v/>
      </c>
      <c r="I31" s="29">
        <f>MIN(U31,H31)</f>
        <v/>
      </c>
      <c r="J31" s="29">
        <f>(H31-I31)*Supuestos!$B$46</f>
        <v/>
      </c>
      <c r="K31" s="29">
        <f>IF(H31-I31&gt;0.01,MIN(Supuestos!$B$21,(H31-I31)*Supuestos!$B$20),0)</f>
        <v/>
      </c>
      <c r="L31" s="29">
        <f>MIN(MAX(G31-AA31,0),H31-I31)</f>
        <v/>
      </c>
      <c r="M31" s="29">
        <f>H31-I31-L31</f>
        <v/>
      </c>
      <c r="N31" s="29">
        <f>S30</f>
        <v/>
      </c>
      <c r="O31" s="29">
        <f>IF(A31=Supuestos!$B$5,0,N31*Supuestos!$B$47)</f>
        <v/>
      </c>
      <c r="P31" s="29">
        <f>IF(AND(A31&gt;Supuestos!$B$5,N31&gt;0.01),Supuestos!$B$26,0)</f>
        <v/>
      </c>
      <c r="Q31" s="29">
        <f>IF(A31=Supuestos!$B$5,0,MIN(Supuestos!$B$25,N31+O31))</f>
        <v/>
      </c>
      <c r="R31" s="29">
        <f>$B$4*MIN(MAX(G31-AA31-L31,0),N31+O31-Q31)</f>
        <v/>
      </c>
      <c r="S31" s="29">
        <f>N31+O31-Q31-R31</f>
        <v/>
      </c>
      <c r="T31" s="29">
        <f>Z30</f>
        <v/>
      </c>
      <c r="U31" s="29">
        <f>IF(A31=Supuestos!$B$5,$B$3*Supuestos!$B$28,0)</f>
        <v/>
      </c>
      <c r="V31" s="29">
        <f>T31*Supuestos!$B$48</f>
        <v/>
      </c>
      <c r="W31" s="29">
        <f>IF(T31&gt;0.01,Supuestos!$B$58,0)</f>
        <v/>
      </c>
      <c r="X31" s="29">
        <f>MIN(Supuestos!$B$57,T31+V31)</f>
        <v/>
      </c>
      <c r="Y31" s="29">
        <f>$B$5*MIN(MAX(G31-AA31-L31-R31,0),T31+V31-X31)</f>
        <v/>
      </c>
      <c r="Z31" s="29">
        <f>T31+U31+V31-X31-Y31</f>
        <v/>
      </c>
      <c r="AA31" s="29">
        <f>J31+K31+P31+Q31+W31+X31</f>
        <v/>
      </c>
      <c r="AB31" s="29">
        <f>G31-AA31-L31-R31-Y31+U31-I31</f>
        <v/>
      </c>
      <c r="AC31" s="29">
        <f>AC30+AB31</f>
        <v/>
      </c>
      <c r="AD31" s="29">
        <f>M31+S31+Z31</f>
        <v/>
      </c>
      <c r="AE31" s="29">
        <f>J31+K31+O31+P31+V31+W31</f>
        <v/>
      </c>
      <c r="AF31" s="29">
        <f>AF30+AE31</f>
        <v/>
      </c>
      <c r="AG31" s="30">
        <f>IF(AD31&lt;0.01,1,0)</f>
        <v/>
      </c>
    </row>
    <row r="32">
      <c r="A32" s="27">
        <f>DATE(YEAR(A31),MONTH(A31)+1,1)</f>
        <v/>
      </c>
      <c r="B32" s="28">
        <f>IF(A32=Supuestos!$B$5,Supuestos!$B$7,Supuestos!$B$6)</f>
        <v/>
      </c>
      <c r="C32" s="29">
        <f>IF(A32=Supuestos!$B$16,Supuestos!$B$15,0)</f>
        <v/>
      </c>
      <c r="D32" s="28">
        <f>IF(A32=Supuestos!$B$5,Supuestos!$B$8,Supuestos!$B$43)</f>
        <v/>
      </c>
      <c r="E32" s="29">
        <f>IF(AND(A32&gt;Supuestos!$B$5,A32&lt;=Supuestos!$B$12),Supuestos!$B$11,0)</f>
        <v/>
      </c>
      <c r="F32" s="29">
        <f>IF(A32&gt;=Supuestos!$B$14,Supuestos!$B$13,0)</f>
        <v/>
      </c>
      <c r="G32" s="29">
        <f>B32+C32-D32-E32-F32</f>
        <v/>
      </c>
      <c r="H32" s="29">
        <f>M31</f>
        <v/>
      </c>
      <c r="I32" s="29">
        <f>MIN(U32,H32)</f>
        <v/>
      </c>
      <c r="J32" s="29">
        <f>(H32-I32)*Supuestos!$B$46</f>
        <v/>
      </c>
      <c r="K32" s="29">
        <f>IF(H32-I32&gt;0.01,MIN(Supuestos!$B$21,(H32-I32)*Supuestos!$B$20),0)</f>
        <v/>
      </c>
      <c r="L32" s="29">
        <f>MIN(MAX(G32-AA32,0),H32-I32)</f>
        <v/>
      </c>
      <c r="M32" s="29">
        <f>H32-I32-L32</f>
        <v/>
      </c>
      <c r="N32" s="29">
        <f>S31</f>
        <v/>
      </c>
      <c r="O32" s="29">
        <f>IF(A32=Supuestos!$B$5,0,N32*Supuestos!$B$47)</f>
        <v/>
      </c>
      <c r="P32" s="29">
        <f>IF(AND(A32&gt;Supuestos!$B$5,N32&gt;0.01),Supuestos!$B$26,0)</f>
        <v/>
      </c>
      <c r="Q32" s="29">
        <f>IF(A32=Supuestos!$B$5,0,MIN(Supuestos!$B$25,N32+O32))</f>
        <v/>
      </c>
      <c r="R32" s="29">
        <f>$B$4*MIN(MAX(G32-AA32-L32,0),N32+O32-Q32)</f>
        <v/>
      </c>
      <c r="S32" s="29">
        <f>N32+O32-Q32-R32</f>
        <v/>
      </c>
      <c r="T32" s="29">
        <f>Z31</f>
        <v/>
      </c>
      <c r="U32" s="29">
        <f>IF(A32=Supuestos!$B$5,$B$3*Supuestos!$B$28,0)</f>
        <v/>
      </c>
      <c r="V32" s="29">
        <f>T32*Supuestos!$B$48</f>
        <v/>
      </c>
      <c r="W32" s="29">
        <f>IF(T32&gt;0.01,Supuestos!$B$58,0)</f>
        <v/>
      </c>
      <c r="X32" s="29">
        <f>MIN(Supuestos!$B$57,T32+V32)</f>
        <v/>
      </c>
      <c r="Y32" s="29">
        <f>$B$5*MIN(MAX(G32-AA32-L32-R32,0),T32+V32-X32)</f>
        <v/>
      </c>
      <c r="Z32" s="29">
        <f>T32+U32+V32-X32-Y32</f>
        <v/>
      </c>
      <c r="AA32" s="29">
        <f>J32+K32+P32+Q32+W32+X32</f>
        <v/>
      </c>
      <c r="AB32" s="29">
        <f>G32-AA32-L32-R32-Y32+U32-I32</f>
        <v/>
      </c>
      <c r="AC32" s="29">
        <f>AC31+AB32</f>
        <v/>
      </c>
      <c r="AD32" s="29">
        <f>M32+S32+Z32</f>
        <v/>
      </c>
      <c r="AE32" s="29">
        <f>J32+K32+O32+P32+V32+W32</f>
        <v/>
      </c>
      <c r="AF32" s="29">
        <f>AF31+AE32</f>
        <v/>
      </c>
      <c r="AG32" s="30">
        <f>IF(AD32&lt;0.01,1,0)</f>
        <v/>
      </c>
    </row>
    <row r="33">
      <c r="A33" s="27">
        <f>DATE(YEAR(A32),MONTH(A32)+1,1)</f>
        <v/>
      </c>
      <c r="B33" s="28">
        <f>IF(A33=Supuestos!$B$5,Supuestos!$B$7,Supuestos!$B$6)</f>
        <v/>
      </c>
      <c r="C33" s="29">
        <f>IF(A33=Supuestos!$B$16,Supuestos!$B$15,0)</f>
        <v/>
      </c>
      <c r="D33" s="28">
        <f>IF(A33=Supuestos!$B$5,Supuestos!$B$8,Supuestos!$B$43)</f>
        <v/>
      </c>
      <c r="E33" s="29">
        <f>IF(AND(A33&gt;Supuestos!$B$5,A33&lt;=Supuestos!$B$12),Supuestos!$B$11,0)</f>
        <v/>
      </c>
      <c r="F33" s="29">
        <f>IF(A33&gt;=Supuestos!$B$14,Supuestos!$B$13,0)</f>
        <v/>
      </c>
      <c r="G33" s="29">
        <f>B33+C33-D33-E33-F33</f>
        <v/>
      </c>
      <c r="H33" s="29">
        <f>M32</f>
        <v/>
      </c>
      <c r="I33" s="29">
        <f>MIN(U33,H33)</f>
        <v/>
      </c>
      <c r="J33" s="29">
        <f>(H33-I33)*Supuestos!$B$46</f>
        <v/>
      </c>
      <c r="K33" s="29">
        <f>IF(H33-I33&gt;0.01,MIN(Supuestos!$B$21,(H33-I33)*Supuestos!$B$20),0)</f>
        <v/>
      </c>
      <c r="L33" s="29">
        <f>MIN(MAX(G33-AA33,0),H33-I33)</f>
        <v/>
      </c>
      <c r="M33" s="29">
        <f>H33-I33-L33</f>
        <v/>
      </c>
      <c r="N33" s="29">
        <f>S32</f>
        <v/>
      </c>
      <c r="O33" s="29">
        <f>IF(A33=Supuestos!$B$5,0,N33*Supuestos!$B$47)</f>
        <v/>
      </c>
      <c r="P33" s="29">
        <f>IF(AND(A33&gt;Supuestos!$B$5,N33&gt;0.01),Supuestos!$B$26,0)</f>
        <v/>
      </c>
      <c r="Q33" s="29">
        <f>IF(A33=Supuestos!$B$5,0,MIN(Supuestos!$B$25,N33+O33))</f>
        <v/>
      </c>
      <c r="R33" s="29">
        <f>$B$4*MIN(MAX(G33-AA33-L33,0),N33+O33-Q33)</f>
        <v/>
      </c>
      <c r="S33" s="29">
        <f>N33+O33-Q33-R33</f>
        <v/>
      </c>
      <c r="T33" s="29">
        <f>Z32</f>
        <v/>
      </c>
      <c r="U33" s="29">
        <f>IF(A33=Supuestos!$B$5,$B$3*Supuestos!$B$28,0)</f>
        <v/>
      </c>
      <c r="V33" s="29">
        <f>T33*Supuestos!$B$48</f>
        <v/>
      </c>
      <c r="W33" s="29">
        <f>IF(T33&gt;0.01,Supuestos!$B$58,0)</f>
        <v/>
      </c>
      <c r="X33" s="29">
        <f>MIN(Supuestos!$B$57,T33+V33)</f>
        <v/>
      </c>
      <c r="Y33" s="29">
        <f>$B$5*MIN(MAX(G33-AA33-L33-R33,0),T33+V33-X33)</f>
        <v/>
      </c>
      <c r="Z33" s="29">
        <f>T33+U33+V33-X33-Y33</f>
        <v/>
      </c>
      <c r="AA33" s="29">
        <f>J33+K33+P33+Q33+W33+X33</f>
        <v/>
      </c>
      <c r="AB33" s="29">
        <f>G33-AA33-L33-R33-Y33+U33-I33</f>
        <v/>
      </c>
      <c r="AC33" s="29">
        <f>AC32+AB33</f>
        <v/>
      </c>
      <c r="AD33" s="29">
        <f>M33+S33+Z33</f>
        <v/>
      </c>
      <c r="AE33" s="29">
        <f>J33+K33+O33+P33+V33+W33</f>
        <v/>
      </c>
      <c r="AF33" s="29">
        <f>AF32+AE33</f>
        <v/>
      </c>
      <c r="AG33" s="30">
        <f>IF(AD33&lt;0.01,1,0)</f>
        <v/>
      </c>
    </row>
    <row r="34">
      <c r="A34" s="27">
        <f>DATE(YEAR(A33),MONTH(A33)+1,1)</f>
        <v/>
      </c>
      <c r="B34" s="28">
        <f>IF(A34=Supuestos!$B$5,Supuestos!$B$7,Supuestos!$B$6)</f>
        <v/>
      </c>
      <c r="C34" s="29">
        <f>IF(A34=Supuestos!$B$16,Supuestos!$B$15,0)</f>
        <v/>
      </c>
      <c r="D34" s="28">
        <f>IF(A34=Supuestos!$B$5,Supuestos!$B$8,Supuestos!$B$43)</f>
        <v/>
      </c>
      <c r="E34" s="29">
        <f>IF(AND(A34&gt;Supuestos!$B$5,A34&lt;=Supuestos!$B$12),Supuestos!$B$11,0)</f>
        <v/>
      </c>
      <c r="F34" s="29">
        <f>IF(A34&gt;=Supuestos!$B$14,Supuestos!$B$13,0)</f>
        <v/>
      </c>
      <c r="G34" s="29">
        <f>B34+C34-D34-E34-F34</f>
        <v/>
      </c>
      <c r="H34" s="29">
        <f>M33</f>
        <v/>
      </c>
      <c r="I34" s="29">
        <f>MIN(U34,H34)</f>
        <v/>
      </c>
      <c r="J34" s="29">
        <f>(H34-I34)*Supuestos!$B$46</f>
        <v/>
      </c>
      <c r="K34" s="29">
        <f>IF(H34-I34&gt;0.01,MIN(Supuestos!$B$21,(H34-I34)*Supuestos!$B$20),0)</f>
        <v/>
      </c>
      <c r="L34" s="29">
        <f>MIN(MAX(G34-AA34,0),H34-I34)</f>
        <v/>
      </c>
      <c r="M34" s="29">
        <f>H34-I34-L34</f>
        <v/>
      </c>
      <c r="N34" s="29">
        <f>S33</f>
        <v/>
      </c>
      <c r="O34" s="29">
        <f>IF(A34=Supuestos!$B$5,0,N34*Supuestos!$B$47)</f>
        <v/>
      </c>
      <c r="P34" s="29">
        <f>IF(AND(A34&gt;Supuestos!$B$5,N34&gt;0.01),Supuestos!$B$26,0)</f>
        <v/>
      </c>
      <c r="Q34" s="29">
        <f>IF(A34=Supuestos!$B$5,0,MIN(Supuestos!$B$25,N34+O34))</f>
        <v/>
      </c>
      <c r="R34" s="29">
        <f>$B$4*MIN(MAX(G34-AA34-L34,0),N34+O34-Q34)</f>
        <v/>
      </c>
      <c r="S34" s="29">
        <f>N34+O34-Q34-R34</f>
        <v/>
      </c>
      <c r="T34" s="29">
        <f>Z33</f>
        <v/>
      </c>
      <c r="U34" s="29">
        <f>IF(A34=Supuestos!$B$5,$B$3*Supuestos!$B$28,0)</f>
        <v/>
      </c>
      <c r="V34" s="29">
        <f>T34*Supuestos!$B$48</f>
        <v/>
      </c>
      <c r="W34" s="29">
        <f>IF(T34&gt;0.01,Supuestos!$B$58,0)</f>
        <v/>
      </c>
      <c r="X34" s="29">
        <f>MIN(Supuestos!$B$57,T34+V34)</f>
        <v/>
      </c>
      <c r="Y34" s="29">
        <f>$B$5*MIN(MAX(G34-AA34-L34-R34,0),T34+V34-X34)</f>
        <v/>
      </c>
      <c r="Z34" s="29">
        <f>T34+U34+V34-X34-Y34</f>
        <v/>
      </c>
      <c r="AA34" s="29">
        <f>J34+K34+P34+Q34+W34+X34</f>
        <v/>
      </c>
      <c r="AB34" s="29">
        <f>G34-AA34-L34-R34-Y34+U34-I34</f>
        <v/>
      </c>
      <c r="AC34" s="29">
        <f>AC33+AB34</f>
        <v/>
      </c>
      <c r="AD34" s="29">
        <f>M34+S34+Z34</f>
        <v/>
      </c>
      <c r="AE34" s="29">
        <f>J34+K34+O34+P34+V34+W34</f>
        <v/>
      </c>
      <c r="AF34" s="29">
        <f>AF33+AE34</f>
        <v/>
      </c>
      <c r="AG34" s="30">
        <f>IF(AD34&lt;0.01,1,0)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2026-10-05T17:20:23Z</dcterms:created>
  <dcterms:modified xsi:type="dcterms:W3CDTF">2026-10-05T17:20:23Z</dcterms:modified>
</cp:coreProperties>
</file>