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e caja" sheetId="1" state="visible" r:id="rId1"/>
    <sheet name="Supuestos" sheetId="2" state="visible" r:id="rId2"/>
    <sheet name="Plan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S/ #,##0.00;(S/ #,##0.00);-"/>
    <numFmt numFmtId="167" formatCode="0.0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color rgb="0000800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0" applyAlignment="1" pivotButton="0" quotePrefix="0" xfId="0">
      <alignment horizontal="center"/>
    </xf>
    <xf numFmtId="0" fontId="6" fillId="4" borderId="0" pivotButton="0" quotePrefix="0" xfId="0"/>
    <xf numFmtId="0" fontId="6" fillId="5" borderId="0" pivotButton="0" quotePrefix="0" xfId="0"/>
    <xf numFmtId="0" fontId="0" fillId="5" borderId="0" pivotButton="0" quotePrefix="0" xfId="0"/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6" fontId="7" fillId="0" borderId="1" pivotButton="0" quotePrefix="0" xfId="0"/>
    <xf numFmtId="165" fontId="3" fillId="6" borderId="1" pivotButton="0" quotePrefix="0" xfId="0"/>
    <xf numFmtId="0" fontId="3" fillId="6" borderId="1" pivotButton="0" quotePrefix="0" xfId="0"/>
    <xf numFmtId="166" fontId="3" fillId="6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0" fontId="5" fillId="0" borderId="0" pivotButton="0" quotePrefix="0" xfId="0"/>
    <xf numFmtId="166" fontId="5" fillId="3" borderId="0" pivotButton="0" quotePrefix="0" xfId="0"/>
    <xf numFmtId="166" fontId="0" fillId="0" borderId="0" pivotButton="0" quotePrefix="0" xfId="0"/>
    <xf numFmtId="10" fontId="0" fillId="0" borderId="0" pivotButton="0" quotePrefix="0" xfId="0"/>
    <xf numFmtId="17" fontId="5" fillId="0" borderId="0" pivotButton="0" quotePrefix="0" xfId="0"/>
    <xf numFmtId="0" fontId="3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17" fontId="4" fillId="0" borderId="1" pivotButton="0" quotePrefix="0" xfId="0"/>
    <xf numFmtId="1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28" customWidth="1" min="3" max="3"/>
    <col width="15" customWidth="1" min="4" max="4"/>
    <col width="15" customWidth="1" min="5" max="5"/>
    <col width="15" customWidth="1" min="6" max="6"/>
    <col width="16" customWidth="1" min="8" max="8"/>
  </cols>
  <sheetData>
    <row r="1">
      <c r="A1" s="1" t="inlineStr">
        <is>
          <t>Libro de caja - Escenario A2 (ExtraCash S/ 10,900) - v2 con mantenimiento</t>
        </is>
      </c>
    </row>
    <row r="2">
      <c r="A2" s="2" t="inlineStr">
        <is>
          <t>Movimientos de tus cuentas de débito. Saldo = saldo anterior + entra - sale.</t>
        </is>
      </c>
    </row>
    <row r="4">
      <c r="A4" s="3" t="inlineStr">
        <is>
          <t>Fecha</t>
        </is>
      </c>
      <c r="B4" s="3" t="inlineStr">
        <is>
          <t>Concepto</t>
        </is>
      </c>
      <c r="C4" s="3" t="inlineStr">
        <is>
          <t>Categoría</t>
        </is>
      </c>
      <c r="D4" s="3" t="inlineStr">
        <is>
          <t>Entra</t>
        </is>
      </c>
      <c r="E4" s="3" t="inlineStr">
        <is>
          <t>Sale</t>
        </is>
      </c>
      <c r="F4" s="3" t="inlineStr">
        <is>
          <t>Saldo</t>
        </is>
      </c>
      <c r="H4" s="4" t="inlineStr">
        <is>
          <t>Control vs Plan</t>
        </is>
      </c>
    </row>
    <row r="5">
      <c r="A5" s="5" t="inlineStr">
        <is>
          <t>Octubre 2026</t>
        </is>
      </c>
      <c r="B5" s="6" t="n"/>
      <c r="C5" s="6" t="n"/>
      <c r="D5" s="6" t="n"/>
      <c r="E5" s="6" t="n"/>
      <c r="F5" s="6" t="n"/>
    </row>
    <row r="6">
      <c r="A6" s="7">
        <f>Supuestos!$B$5</f>
        <v/>
      </c>
      <c r="B6" s="8" t="inlineStr">
        <is>
          <t>Saldo inicial (Interbank + BCP)</t>
        </is>
      </c>
      <c r="C6" s="8" t="inlineStr">
        <is>
          <t>Saldo</t>
        </is>
      </c>
      <c r="D6" s="9" t="n"/>
      <c r="E6" s="9" t="n"/>
      <c r="F6" s="9">
        <f>'Plan mensual'!B5</f>
        <v/>
      </c>
    </row>
    <row r="7">
      <c r="A7" s="7">
        <f>Supuestos!$B$5+3</f>
        <v/>
      </c>
      <c r="B7" s="8" t="inlineStr">
        <is>
          <t>Desembolso neto ExtraCash (10,900 - 3,430.10 deuda actual)</t>
        </is>
      </c>
      <c r="C7" s="8" t="inlineStr">
        <is>
          <t>Préstamo</t>
        </is>
      </c>
      <c r="D7" s="10">
        <f>'Plan mensual'!D5</f>
        <v/>
      </c>
      <c r="E7" s="9" t="n"/>
      <c r="F7" s="9">
        <f>F6+D7-E7</f>
        <v/>
      </c>
    </row>
    <row r="8">
      <c r="A8" s="7">
        <f>Supuestos!$B$5+3</f>
        <v/>
      </c>
      <c r="B8" s="8" t="inlineStr">
        <is>
          <t>Pago deuda total tarjeta Visa Infinite</t>
        </is>
      </c>
      <c r="C8" s="8" t="inlineStr">
        <is>
          <t>Tarjeta</t>
        </is>
      </c>
      <c r="D8" s="9" t="n"/>
      <c r="E8" s="10">
        <f>'Plan mensual'!F5</f>
        <v/>
      </c>
      <c r="F8" s="9">
        <f>F7+D8-E8</f>
        <v/>
      </c>
    </row>
    <row r="9">
      <c r="A9" s="7">
        <f>'Plan mensual'!$A$5+21</f>
        <v/>
      </c>
      <c r="B9" s="8" t="inlineStr">
        <is>
          <t>Prepago ExtraCash (reducir plazo)</t>
        </is>
      </c>
      <c r="C9" s="8" t="inlineStr">
        <is>
          <t>Deuda</t>
        </is>
      </c>
      <c r="D9" s="9" t="n"/>
      <c r="E9" s="10">
        <f>'Plan mensual'!J5</f>
        <v/>
      </c>
      <c r="F9" s="9">
        <f>F8+D9-E9</f>
        <v/>
      </c>
    </row>
    <row r="10">
      <c r="A10" s="7">
        <f>EOMONTH('Plan mensual'!$A$5,0)</f>
        <v/>
      </c>
      <c r="B10" s="8" t="inlineStr">
        <is>
          <t>Supermercado (total del mes)</t>
        </is>
      </c>
      <c r="C10" s="8" t="inlineStr">
        <is>
          <t>Gasto de vida</t>
        </is>
      </c>
      <c r="D10" s="9" t="n"/>
      <c r="E10" s="9">
        <f>Supuestos!$C$31</f>
        <v/>
      </c>
      <c r="F10" s="9">
        <f>F9+D10-E10</f>
        <v/>
      </c>
    </row>
    <row r="11">
      <c r="A11" s="7">
        <f>EOMONTH('Plan mensual'!$A$5,0)</f>
        <v/>
      </c>
      <c r="B11" s="8" t="inlineStr">
        <is>
          <t>Taxis (total del mes)</t>
        </is>
      </c>
      <c r="C11" s="8" t="inlineStr">
        <is>
          <t>Gasto de vida</t>
        </is>
      </c>
      <c r="D11" s="9" t="n"/>
      <c r="E11" s="9">
        <f>Supuestos!$C$32</f>
        <v/>
      </c>
      <c r="F11" s="9">
        <f>F10+D11-E11</f>
        <v/>
      </c>
    </row>
    <row r="12">
      <c r="A12" s="7">
        <f>EOMONTH('Plan mensual'!$A$5,0)</f>
        <v/>
      </c>
      <c r="B12" s="8" t="inlineStr">
        <is>
          <t>Otros (total del mes)</t>
        </is>
      </c>
      <c r="C12" s="8" t="inlineStr">
        <is>
          <t>Gasto de vida</t>
        </is>
      </c>
      <c r="D12" s="9" t="n"/>
      <c r="E12" s="9">
        <f>Supuestos!$C$33</f>
        <v/>
      </c>
      <c r="F12" s="9">
        <f>F11+D12-E12</f>
        <v/>
      </c>
    </row>
    <row r="13">
      <c r="A13" s="7">
        <f>EOMONTH('Plan mensual'!$A$5,0)</f>
        <v/>
      </c>
      <c r="B13" s="8" t="inlineStr">
        <is>
          <t>Contador Luxr (total del mes)</t>
        </is>
      </c>
      <c r="C13" s="8" t="inlineStr">
        <is>
          <t>Gasto de vida</t>
        </is>
      </c>
      <c r="D13" s="9" t="n"/>
      <c r="E13" s="9">
        <f>Supuestos!$C$34</f>
        <v/>
      </c>
      <c r="F13" s="9">
        <f>F12+D13-E13</f>
        <v/>
      </c>
    </row>
    <row r="14">
      <c r="A14" s="7">
        <f>'Plan mensual'!$A$5+9</f>
        <v/>
      </c>
      <c r="B14" s="8" t="inlineStr">
        <is>
          <t>Mantenimiento + agua (Yape)</t>
        </is>
      </c>
      <c r="C14" s="8" t="inlineStr">
        <is>
          <t>Gasto fijo</t>
        </is>
      </c>
      <c r="D14" s="9" t="n"/>
      <c r="E14" s="9">
        <f>IF('Plan mensual'!$A$5&lt;=Supuestos!$B$28,Supuestos!$B$27,0)</f>
        <v/>
      </c>
      <c r="F14" s="9">
        <f>F13+D14-E14</f>
        <v/>
      </c>
    </row>
    <row r="15">
      <c r="A15" s="11">
        <f>EOMONTH('Plan mensual'!$A$5,0)</f>
        <v/>
      </c>
      <c r="B15" s="12" t="inlineStr">
        <is>
          <t>SALDO FINAL DEL MES</t>
        </is>
      </c>
      <c r="C15" s="12">
        <f>"Apartado tarjeta: S/ "&amp;TEXT('Plan mensual'!H5,"#,##0.00")</f>
        <v/>
      </c>
      <c r="D15" s="13" t="n"/>
      <c r="E15" s="13" t="n"/>
      <c r="F15" s="13">
        <f>F14</f>
        <v/>
      </c>
      <c r="H15" s="14">
        <f>IF(ABS(F15-'Plan mensual'!K5)&lt;0.01,"OK","Revisar")</f>
        <v/>
      </c>
    </row>
    <row r="17">
      <c r="A17" s="5" t="inlineStr">
        <is>
          <t>Noviembre 2026</t>
        </is>
      </c>
      <c r="B17" s="6" t="n"/>
      <c r="C17" s="6" t="n"/>
      <c r="D17" s="6" t="n"/>
      <c r="E17" s="6" t="n"/>
      <c r="F17" s="6" t="n"/>
    </row>
    <row r="18">
      <c r="A18" s="7">
        <f>'Plan mensual'!$A$6-1</f>
        <v/>
      </c>
      <c r="B18" s="8" t="inlineStr">
        <is>
          <t>Sueldo Simtryx</t>
        </is>
      </c>
      <c r="C18" s="8" t="inlineStr">
        <is>
          <t>Ingreso</t>
        </is>
      </c>
      <c r="D18" s="10">
        <f>'Plan mensual'!C6</f>
        <v/>
      </c>
      <c r="E18" s="9" t="n"/>
      <c r="F18" s="9">
        <f>F15+D18-E18</f>
        <v/>
      </c>
    </row>
    <row r="19">
      <c r="A19" s="7">
        <f>'Plan mensual'!$A$6+14</f>
        <v/>
      </c>
      <c r="B19" s="8" t="inlineStr">
        <is>
          <t>Pago estado de cuenta tarjeta (cargos del mes anterior) + pendientes + interés residual</t>
        </is>
      </c>
      <c r="C19" s="8" t="inlineStr">
        <is>
          <t>Tarjeta</t>
        </is>
      </c>
      <c r="D19" s="9" t="n"/>
      <c r="E19" s="10">
        <f>'Plan mensual'!F6</f>
        <v/>
      </c>
      <c r="F19" s="9">
        <f>F18+D19-E19</f>
        <v/>
      </c>
    </row>
    <row r="20">
      <c r="A20" s="7">
        <f>'Plan mensual'!$A$6+14</f>
        <v/>
      </c>
      <c r="B20" s="8" t="inlineStr">
        <is>
          <t>Cuota ExtraCash</t>
        </is>
      </c>
      <c r="C20" s="8" t="inlineStr">
        <is>
          <t>Deuda</t>
        </is>
      </c>
      <c r="D20" s="9" t="n"/>
      <c r="E20" s="10">
        <f>'Plan mensual'!G6</f>
        <v/>
      </c>
      <c r="F20" s="9">
        <f>F19+D20-E20</f>
        <v/>
      </c>
    </row>
    <row r="21">
      <c r="A21" s="7">
        <f>'Plan mensual'!$A$6+21</f>
        <v/>
      </c>
      <c r="B21" s="8" t="inlineStr">
        <is>
          <t>Prepago ExtraCash (reducir plazo)</t>
        </is>
      </c>
      <c r="C21" s="8" t="inlineStr">
        <is>
          <t>Deuda</t>
        </is>
      </c>
      <c r="D21" s="9" t="n"/>
      <c r="E21" s="10">
        <f>'Plan mensual'!J6</f>
        <v/>
      </c>
      <c r="F21" s="9">
        <f>F20+D21-E21</f>
        <v/>
      </c>
    </row>
    <row r="22">
      <c r="A22" s="7">
        <f>EOMONTH('Plan mensual'!$A$6,0)</f>
        <v/>
      </c>
      <c r="B22" s="8" t="inlineStr">
        <is>
          <t>Supermercado (total del mes)</t>
        </is>
      </c>
      <c r="C22" s="8" t="inlineStr">
        <is>
          <t>Gasto de vida</t>
        </is>
      </c>
      <c r="D22" s="9" t="n"/>
      <c r="E22" s="9">
        <f>Supuestos!$B$31</f>
        <v/>
      </c>
      <c r="F22" s="9">
        <f>F21+D22-E22</f>
        <v/>
      </c>
    </row>
    <row r="23">
      <c r="A23" s="7">
        <f>EOMONTH('Plan mensual'!$A$6,0)</f>
        <v/>
      </c>
      <c r="B23" s="8" t="inlineStr">
        <is>
          <t>Taxis (total del mes)</t>
        </is>
      </c>
      <c r="C23" s="8" t="inlineStr">
        <is>
          <t>Gasto de vida</t>
        </is>
      </c>
      <c r="D23" s="9" t="n"/>
      <c r="E23" s="9">
        <f>Supuestos!$B$32</f>
        <v/>
      </c>
      <c r="F23" s="9">
        <f>F22+D23-E23</f>
        <v/>
      </c>
    </row>
    <row r="24">
      <c r="A24" s="7">
        <f>EOMONTH('Plan mensual'!$A$6,0)</f>
        <v/>
      </c>
      <c r="B24" s="8" t="inlineStr">
        <is>
          <t>Otros (total del mes)</t>
        </is>
      </c>
      <c r="C24" s="8" t="inlineStr">
        <is>
          <t>Gasto de vida</t>
        </is>
      </c>
      <c r="D24" s="9" t="n"/>
      <c r="E24" s="9">
        <f>Supuestos!$B$33</f>
        <v/>
      </c>
      <c r="F24" s="9">
        <f>F23+D24-E24</f>
        <v/>
      </c>
    </row>
    <row r="25">
      <c r="A25" s="7">
        <f>EOMONTH('Plan mensual'!$A$6,0)</f>
        <v/>
      </c>
      <c r="B25" s="8" t="inlineStr">
        <is>
          <t>Contador Luxr (total del mes)</t>
        </is>
      </c>
      <c r="C25" s="8" t="inlineStr">
        <is>
          <t>Gasto de vida</t>
        </is>
      </c>
      <c r="D25" s="9" t="n"/>
      <c r="E25" s="9">
        <f>Supuestos!$B$34</f>
        <v/>
      </c>
      <c r="F25" s="9">
        <f>F24+D25-E25</f>
        <v/>
      </c>
    </row>
    <row r="26">
      <c r="A26" s="7">
        <f>'Plan mensual'!$A$6+9</f>
        <v/>
      </c>
      <c r="B26" s="8" t="inlineStr">
        <is>
          <t>Mantenimiento + agua (Yape)</t>
        </is>
      </c>
      <c r="C26" s="8" t="inlineStr">
        <is>
          <t>Gasto fijo</t>
        </is>
      </c>
      <c r="D26" s="9" t="n"/>
      <c r="E26" s="9">
        <f>IF('Plan mensual'!$A$6&lt;=Supuestos!$B$28,Supuestos!$B$27,0)</f>
        <v/>
      </c>
      <c r="F26" s="9">
        <f>F25+D26-E26</f>
        <v/>
      </c>
    </row>
    <row r="27">
      <c r="A27" s="11">
        <f>EOMONTH('Plan mensual'!$A$6,0)</f>
        <v/>
      </c>
      <c r="B27" s="12" t="inlineStr">
        <is>
          <t>SALDO FINAL DEL MES</t>
        </is>
      </c>
      <c r="C27" s="12">
        <f>"Apartado tarjeta: S/ "&amp;TEXT('Plan mensual'!H6,"#,##0.00")</f>
        <v/>
      </c>
      <c r="D27" s="13" t="n"/>
      <c r="E27" s="13" t="n"/>
      <c r="F27" s="13">
        <f>F26</f>
        <v/>
      </c>
      <c r="H27" s="14">
        <f>IF(ABS(F27-'Plan mensual'!K6)&lt;0.01,"OK","Revisar")</f>
        <v/>
      </c>
    </row>
    <row r="29">
      <c r="A29" s="5" t="inlineStr">
        <is>
          <t>Diciembre 2026</t>
        </is>
      </c>
      <c r="B29" s="6" t="n"/>
      <c r="C29" s="6" t="n"/>
      <c r="D29" s="6" t="n"/>
      <c r="E29" s="6" t="n"/>
      <c r="F29" s="6" t="n"/>
    </row>
    <row r="30">
      <c r="A30" s="7">
        <f>'Plan mensual'!$A$7-1</f>
        <v/>
      </c>
      <c r="B30" s="8" t="inlineStr">
        <is>
          <t>Sueldo Simtryx</t>
        </is>
      </c>
      <c r="C30" s="8" t="inlineStr">
        <is>
          <t>Ingreso</t>
        </is>
      </c>
      <c r="D30" s="10">
        <f>'Plan mensual'!C7</f>
        <v/>
      </c>
      <c r="E30" s="9" t="n"/>
      <c r="F30" s="9">
        <f>F27+D30-E30</f>
        <v/>
      </c>
    </row>
    <row r="31">
      <c r="A31" s="7">
        <f>'Plan mensual'!$A$7+14</f>
        <v/>
      </c>
      <c r="B31" s="8" t="inlineStr">
        <is>
          <t>Pago estado de cuenta tarjeta (cargos del mes anterior)</t>
        </is>
      </c>
      <c r="C31" s="8" t="inlineStr">
        <is>
          <t>Tarjeta</t>
        </is>
      </c>
      <c r="D31" s="9" t="n"/>
      <c r="E31" s="10">
        <f>'Plan mensual'!F7</f>
        <v/>
      </c>
      <c r="F31" s="9">
        <f>F30+D31-E31</f>
        <v/>
      </c>
    </row>
    <row r="32">
      <c r="A32" s="7">
        <f>'Plan mensual'!$A$7+14</f>
        <v/>
      </c>
      <c r="B32" s="8" t="inlineStr">
        <is>
          <t>Cuota ExtraCash</t>
        </is>
      </c>
      <c r="C32" s="8" t="inlineStr">
        <is>
          <t>Deuda</t>
        </is>
      </c>
      <c r="D32" s="9" t="n"/>
      <c r="E32" s="10">
        <f>'Plan mensual'!G7</f>
        <v/>
      </c>
      <c r="F32" s="9">
        <f>F31+D32-E32</f>
        <v/>
      </c>
    </row>
    <row r="33">
      <c r="A33" s="7">
        <f>'Plan mensual'!$A$7+21</f>
        <v/>
      </c>
      <c r="B33" s="8" t="inlineStr">
        <is>
          <t>Prepago ExtraCash (reducir plazo)</t>
        </is>
      </c>
      <c r="C33" s="8" t="inlineStr">
        <is>
          <t>Deuda</t>
        </is>
      </c>
      <c r="D33" s="9" t="n"/>
      <c r="E33" s="10">
        <f>'Plan mensual'!J7</f>
        <v/>
      </c>
      <c r="F33" s="9">
        <f>F32+D33-E33</f>
        <v/>
      </c>
    </row>
    <row r="34">
      <c r="A34" s="7">
        <f>EOMONTH('Plan mensual'!$A$7,0)</f>
        <v/>
      </c>
      <c r="B34" s="8" t="inlineStr">
        <is>
          <t>Supermercado (total del mes)</t>
        </is>
      </c>
      <c r="C34" s="8" t="inlineStr">
        <is>
          <t>Gasto de vida</t>
        </is>
      </c>
      <c r="D34" s="9" t="n"/>
      <c r="E34" s="9">
        <f>Supuestos!$B$31</f>
        <v/>
      </c>
      <c r="F34" s="9">
        <f>F33+D34-E34</f>
        <v/>
      </c>
    </row>
    <row r="35">
      <c r="A35" s="7">
        <f>EOMONTH('Plan mensual'!$A$7,0)</f>
        <v/>
      </c>
      <c r="B35" s="8" t="inlineStr">
        <is>
          <t>Taxis (total del mes)</t>
        </is>
      </c>
      <c r="C35" s="8" t="inlineStr">
        <is>
          <t>Gasto de vida</t>
        </is>
      </c>
      <c r="D35" s="9" t="n"/>
      <c r="E35" s="9">
        <f>Supuestos!$B$32</f>
        <v/>
      </c>
      <c r="F35" s="9">
        <f>F34+D35-E35</f>
        <v/>
      </c>
    </row>
    <row r="36">
      <c r="A36" s="7">
        <f>EOMONTH('Plan mensual'!$A$7,0)</f>
        <v/>
      </c>
      <c r="B36" s="8" t="inlineStr">
        <is>
          <t>Otros (total del mes)</t>
        </is>
      </c>
      <c r="C36" s="8" t="inlineStr">
        <is>
          <t>Gasto de vida</t>
        </is>
      </c>
      <c r="D36" s="9" t="n"/>
      <c r="E36" s="9">
        <f>Supuestos!$B$33</f>
        <v/>
      </c>
      <c r="F36" s="9">
        <f>F35+D36-E36</f>
        <v/>
      </c>
    </row>
    <row r="37">
      <c r="A37" s="7">
        <f>EOMONTH('Plan mensual'!$A$7,0)</f>
        <v/>
      </c>
      <c r="B37" s="8" t="inlineStr">
        <is>
          <t>Contador Luxr (total del mes)</t>
        </is>
      </c>
      <c r="C37" s="8" t="inlineStr">
        <is>
          <t>Gasto de vida</t>
        </is>
      </c>
      <c r="D37" s="9" t="n"/>
      <c r="E37" s="9">
        <f>Supuestos!$B$34</f>
        <v/>
      </c>
      <c r="F37" s="9">
        <f>F36+D37-E37</f>
        <v/>
      </c>
    </row>
    <row r="38">
      <c r="A38" s="7">
        <f>'Plan mensual'!$A$7+9</f>
        <v/>
      </c>
      <c r="B38" s="8" t="inlineStr">
        <is>
          <t>Mantenimiento + agua (Yape)</t>
        </is>
      </c>
      <c r="C38" s="8" t="inlineStr">
        <is>
          <t>Gasto fijo</t>
        </is>
      </c>
      <c r="D38" s="9" t="n"/>
      <c r="E38" s="9">
        <f>IF('Plan mensual'!$A$7&lt;=Supuestos!$B$28,Supuestos!$B$27,0)</f>
        <v/>
      </c>
      <c r="F38" s="9">
        <f>F37+D38-E38</f>
        <v/>
      </c>
    </row>
    <row r="39">
      <c r="A39" s="11">
        <f>EOMONTH('Plan mensual'!$A$7,0)</f>
        <v/>
      </c>
      <c r="B39" s="12" t="inlineStr">
        <is>
          <t>SALDO FINAL DEL MES</t>
        </is>
      </c>
      <c r="C39" s="12">
        <f>"Apartado tarjeta: S/ "&amp;TEXT('Plan mensual'!H7,"#,##0.00")</f>
        <v/>
      </c>
      <c r="D39" s="13" t="n"/>
      <c r="E39" s="13" t="n"/>
      <c r="F39" s="13">
        <f>F38</f>
        <v/>
      </c>
      <c r="H39" s="14">
        <f>IF(ABS(F39-'Plan mensual'!K7)&lt;0.01,"OK","Revisar")</f>
        <v/>
      </c>
    </row>
    <row r="41">
      <c r="A41" s="5" t="inlineStr">
        <is>
          <t>Enero 2027</t>
        </is>
      </c>
      <c r="B41" s="6" t="n"/>
      <c r="C41" s="6" t="n"/>
      <c r="D41" s="6" t="n"/>
      <c r="E41" s="6" t="n"/>
      <c r="F41" s="6" t="n"/>
    </row>
    <row r="42">
      <c r="A42" s="7">
        <f>'Plan mensual'!$A$8-1</f>
        <v/>
      </c>
      <c r="B42" s="8" t="inlineStr">
        <is>
          <t>Sueldo Simtryx</t>
        </is>
      </c>
      <c r="C42" s="8" t="inlineStr">
        <is>
          <t>Ingreso</t>
        </is>
      </c>
      <c r="D42" s="10">
        <f>'Plan mensual'!C8</f>
        <v/>
      </c>
      <c r="E42" s="9" t="n"/>
      <c r="F42" s="9">
        <f>F39+D42-E42</f>
        <v/>
      </c>
    </row>
    <row r="43">
      <c r="A43" s="7">
        <f>'Plan mensual'!$A$8+14</f>
        <v/>
      </c>
      <c r="B43" s="8" t="inlineStr">
        <is>
          <t>Pago estado de cuenta tarjeta (cargos del mes anterior)</t>
        </is>
      </c>
      <c r="C43" s="8" t="inlineStr">
        <is>
          <t>Tarjeta</t>
        </is>
      </c>
      <c r="D43" s="9" t="n"/>
      <c r="E43" s="10">
        <f>'Plan mensual'!F8</f>
        <v/>
      </c>
      <c r="F43" s="9">
        <f>F42+D43-E43</f>
        <v/>
      </c>
    </row>
    <row r="44">
      <c r="A44" s="7">
        <f>'Plan mensual'!$A$8+14</f>
        <v/>
      </c>
      <c r="B44" s="8" t="inlineStr">
        <is>
          <t>Cuota ExtraCash</t>
        </is>
      </c>
      <c r="C44" s="8" t="inlineStr">
        <is>
          <t>Deuda</t>
        </is>
      </c>
      <c r="D44" s="9" t="n"/>
      <c r="E44" s="10">
        <f>'Plan mensual'!G8</f>
        <v/>
      </c>
      <c r="F44" s="9">
        <f>F43+D44-E44</f>
        <v/>
      </c>
    </row>
    <row r="45">
      <c r="A45" s="7">
        <f>'Plan mensual'!$A$8+21</f>
        <v/>
      </c>
      <c r="B45" s="8" t="inlineStr">
        <is>
          <t>Prepago ExtraCash (reducir plazo)</t>
        </is>
      </c>
      <c r="C45" s="8" t="inlineStr">
        <is>
          <t>Deuda</t>
        </is>
      </c>
      <c r="D45" s="9" t="n"/>
      <c r="E45" s="10">
        <f>'Plan mensual'!J8</f>
        <v/>
      </c>
      <c r="F45" s="9">
        <f>F44+D45-E45</f>
        <v/>
      </c>
    </row>
    <row r="46">
      <c r="A46" s="7">
        <f>EOMONTH('Plan mensual'!$A$8,0)</f>
        <v/>
      </c>
      <c r="B46" s="8" t="inlineStr">
        <is>
          <t>Supermercado (total del mes)</t>
        </is>
      </c>
      <c r="C46" s="8" t="inlineStr">
        <is>
          <t>Gasto de vida</t>
        </is>
      </c>
      <c r="D46" s="9" t="n"/>
      <c r="E46" s="9">
        <f>Supuestos!$B$31</f>
        <v/>
      </c>
      <c r="F46" s="9">
        <f>F45+D46-E46</f>
        <v/>
      </c>
    </row>
    <row r="47">
      <c r="A47" s="7">
        <f>EOMONTH('Plan mensual'!$A$8,0)</f>
        <v/>
      </c>
      <c r="B47" s="8" t="inlineStr">
        <is>
          <t>Taxis (total del mes)</t>
        </is>
      </c>
      <c r="C47" s="8" t="inlineStr">
        <is>
          <t>Gasto de vida</t>
        </is>
      </c>
      <c r="D47" s="9" t="n"/>
      <c r="E47" s="9">
        <f>Supuestos!$B$32</f>
        <v/>
      </c>
      <c r="F47" s="9">
        <f>F46+D47-E47</f>
        <v/>
      </c>
    </row>
    <row r="48">
      <c r="A48" s="7">
        <f>EOMONTH('Plan mensual'!$A$8,0)</f>
        <v/>
      </c>
      <c r="B48" s="8" t="inlineStr">
        <is>
          <t>Otros (total del mes)</t>
        </is>
      </c>
      <c r="C48" s="8" t="inlineStr">
        <is>
          <t>Gasto de vida</t>
        </is>
      </c>
      <c r="D48" s="9" t="n"/>
      <c r="E48" s="9">
        <f>Supuestos!$B$33</f>
        <v/>
      </c>
      <c r="F48" s="9">
        <f>F47+D48-E48</f>
        <v/>
      </c>
    </row>
    <row r="49">
      <c r="A49" s="7">
        <f>EOMONTH('Plan mensual'!$A$8,0)</f>
        <v/>
      </c>
      <c r="B49" s="8" t="inlineStr">
        <is>
          <t>Contador Luxr (total del mes)</t>
        </is>
      </c>
      <c r="C49" s="8" t="inlineStr">
        <is>
          <t>Gasto de vida</t>
        </is>
      </c>
      <c r="D49" s="9" t="n"/>
      <c r="E49" s="9">
        <f>Supuestos!$B$34</f>
        <v/>
      </c>
      <c r="F49" s="9">
        <f>F48+D49-E49</f>
        <v/>
      </c>
    </row>
    <row r="50">
      <c r="A50" s="7">
        <f>'Plan mensual'!$A$8+9</f>
        <v/>
      </c>
      <c r="B50" s="8" t="inlineStr">
        <is>
          <t>Mantenimiento + agua (Yape)</t>
        </is>
      </c>
      <c r="C50" s="8" t="inlineStr">
        <is>
          <t>Gasto fijo</t>
        </is>
      </c>
      <c r="D50" s="9" t="n"/>
      <c r="E50" s="9">
        <f>IF('Plan mensual'!$A$8&lt;=Supuestos!$B$28,Supuestos!$B$27,0)</f>
        <v/>
      </c>
      <c r="F50" s="9">
        <f>F49+D50-E50</f>
        <v/>
      </c>
    </row>
    <row r="51">
      <c r="A51" s="11">
        <f>EOMONTH('Plan mensual'!$A$8,0)</f>
        <v/>
      </c>
      <c r="B51" s="12" t="inlineStr">
        <is>
          <t>SALDO FINAL DEL MES</t>
        </is>
      </c>
      <c r="C51" s="12">
        <f>"Apartado tarjeta: S/ "&amp;TEXT('Plan mensual'!H8,"#,##0.00")</f>
        <v/>
      </c>
      <c r="D51" s="13" t="n"/>
      <c r="E51" s="13" t="n"/>
      <c r="F51" s="13">
        <f>F50</f>
        <v/>
      </c>
      <c r="H51" s="14">
        <f>IF(ABS(F51-'Plan mensual'!K8)&lt;0.01,"OK","Revisar")</f>
        <v/>
      </c>
    </row>
    <row r="53">
      <c r="A53" s="5" t="inlineStr">
        <is>
          <t>Febrero 2027</t>
        </is>
      </c>
      <c r="B53" s="6" t="n"/>
      <c r="C53" s="6" t="n"/>
      <c r="D53" s="6" t="n"/>
      <c r="E53" s="6" t="n"/>
      <c r="F53" s="6" t="n"/>
    </row>
    <row r="54">
      <c r="A54" s="7">
        <f>'Plan mensual'!$A$9-1</f>
        <v/>
      </c>
      <c r="B54" s="8" t="inlineStr">
        <is>
          <t>Sueldo Simtryx</t>
        </is>
      </c>
      <c r="C54" s="8" t="inlineStr">
        <is>
          <t>Ingreso</t>
        </is>
      </c>
      <c r="D54" s="10">
        <f>'Plan mensual'!C9</f>
        <v/>
      </c>
      <c r="E54" s="9" t="n"/>
      <c r="F54" s="9">
        <f>F51+D54-E54</f>
        <v/>
      </c>
    </row>
    <row r="55">
      <c r="A55" s="7">
        <f>'Plan mensual'!$A$9+14</f>
        <v/>
      </c>
      <c r="B55" s="8" t="inlineStr">
        <is>
          <t>Pago estado de cuenta tarjeta (cargos del mes anterior)</t>
        </is>
      </c>
      <c r="C55" s="8" t="inlineStr">
        <is>
          <t>Tarjeta</t>
        </is>
      </c>
      <c r="D55" s="9" t="n"/>
      <c r="E55" s="10">
        <f>'Plan mensual'!F9</f>
        <v/>
      </c>
      <c r="F55" s="9">
        <f>F54+D55-E55</f>
        <v/>
      </c>
    </row>
    <row r="56">
      <c r="A56" s="7">
        <f>'Plan mensual'!$A$9+14</f>
        <v/>
      </c>
      <c r="B56" s="8" t="inlineStr">
        <is>
          <t>Cuota ExtraCash</t>
        </is>
      </c>
      <c r="C56" s="8" t="inlineStr">
        <is>
          <t>Deuda</t>
        </is>
      </c>
      <c r="D56" s="9" t="n"/>
      <c r="E56" s="10">
        <f>'Plan mensual'!G9</f>
        <v/>
      </c>
      <c r="F56" s="9">
        <f>F55+D56-E56</f>
        <v/>
      </c>
    </row>
    <row r="57">
      <c r="A57" s="7">
        <f>'Plan mensual'!$A$9+21</f>
        <v/>
      </c>
      <c r="B57" s="8" t="inlineStr">
        <is>
          <t>Prepago ExtraCash (reducir plazo)</t>
        </is>
      </c>
      <c r="C57" s="8" t="inlineStr">
        <is>
          <t>Deuda</t>
        </is>
      </c>
      <c r="D57" s="9" t="n"/>
      <c r="E57" s="10">
        <f>'Plan mensual'!J9</f>
        <v/>
      </c>
      <c r="F57" s="9">
        <f>F56+D57-E57</f>
        <v/>
      </c>
    </row>
    <row r="58">
      <c r="A58" s="7">
        <f>EOMONTH('Plan mensual'!$A$9,0)</f>
        <v/>
      </c>
      <c r="B58" s="8" t="inlineStr">
        <is>
          <t>Supermercado (total del mes)</t>
        </is>
      </c>
      <c r="C58" s="8" t="inlineStr">
        <is>
          <t>Gasto de vida</t>
        </is>
      </c>
      <c r="D58" s="9" t="n"/>
      <c r="E58" s="9">
        <f>Supuestos!$B$31</f>
        <v/>
      </c>
      <c r="F58" s="9">
        <f>F57+D58-E58</f>
        <v/>
      </c>
    </row>
    <row r="59">
      <c r="A59" s="7">
        <f>EOMONTH('Plan mensual'!$A$9,0)</f>
        <v/>
      </c>
      <c r="B59" s="8" t="inlineStr">
        <is>
          <t>Taxis (total del mes)</t>
        </is>
      </c>
      <c r="C59" s="8" t="inlineStr">
        <is>
          <t>Gasto de vida</t>
        </is>
      </c>
      <c r="D59" s="9" t="n"/>
      <c r="E59" s="9">
        <f>Supuestos!$B$32</f>
        <v/>
      </c>
      <c r="F59" s="9">
        <f>F58+D59-E59</f>
        <v/>
      </c>
    </row>
    <row r="60">
      <c r="A60" s="7">
        <f>EOMONTH('Plan mensual'!$A$9,0)</f>
        <v/>
      </c>
      <c r="B60" s="8" t="inlineStr">
        <is>
          <t>Otros (total del mes)</t>
        </is>
      </c>
      <c r="C60" s="8" t="inlineStr">
        <is>
          <t>Gasto de vida</t>
        </is>
      </c>
      <c r="D60" s="9" t="n"/>
      <c r="E60" s="9">
        <f>Supuestos!$B$33</f>
        <v/>
      </c>
      <c r="F60" s="9">
        <f>F59+D60-E60</f>
        <v/>
      </c>
    </row>
    <row r="61">
      <c r="A61" s="7">
        <f>EOMONTH('Plan mensual'!$A$9,0)</f>
        <v/>
      </c>
      <c r="B61" s="8" t="inlineStr">
        <is>
          <t>Contador Luxr (total del mes)</t>
        </is>
      </c>
      <c r="C61" s="8" t="inlineStr">
        <is>
          <t>Gasto de vida</t>
        </is>
      </c>
      <c r="D61" s="9" t="n"/>
      <c r="E61" s="9">
        <f>Supuestos!$B$34</f>
        <v/>
      </c>
      <c r="F61" s="9">
        <f>F60+D61-E61</f>
        <v/>
      </c>
    </row>
    <row r="62">
      <c r="A62" s="7">
        <f>'Plan mensual'!$A$9+9</f>
        <v/>
      </c>
      <c r="B62" s="8" t="inlineStr">
        <is>
          <t>Mantenimiento + agua (Yape)</t>
        </is>
      </c>
      <c r="C62" s="8" t="inlineStr">
        <is>
          <t>Gasto fijo</t>
        </is>
      </c>
      <c r="D62" s="9" t="n"/>
      <c r="E62" s="9">
        <f>IF('Plan mensual'!$A$9&lt;=Supuestos!$B$28,Supuestos!$B$27,0)</f>
        <v/>
      </c>
      <c r="F62" s="9">
        <f>F61+D62-E62</f>
        <v/>
      </c>
    </row>
    <row r="63">
      <c r="A63" s="11">
        <f>EOMONTH('Plan mensual'!$A$9,0)</f>
        <v/>
      </c>
      <c r="B63" s="12" t="inlineStr">
        <is>
          <t>SALDO FINAL DEL MES</t>
        </is>
      </c>
      <c r="C63" s="12">
        <f>"Apartado tarjeta: S/ "&amp;TEXT('Plan mensual'!H9,"#,##0.00")</f>
        <v/>
      </c>
      <c r="D63" s="13" t="n"/>
      <c r="E63" s="13" t="n"/>
      <c r="F63" s="13">
        <f>F62</f>
        <v/>
      </c>
      <c r="H63" s="14">
        <f>IF(ABS(F63-'Plan mensual'!K9)&lt;0.01,"OK","Revisar")</f>
        <v/>
      </c>
    </row>
    <row r="65">
      <c r="A65" s="5" t="inlineStr">
        <is>
          <t>Marzo 2027</t>
        </is>
      </c>
      <c r="B65" s="6" t="n"/>
      <c r="C65" s="6" t="n"/>
      <c r="D65" s="6" t="n"/>
      <c r="E65" s="6" t="n"/>
      <c r="F65" s="6" t="n"/>
    </row>
    <row r="66">
      <c r="A66" s="7">
        <f>'Plan mensual'!$A$10-1</f>
        <v/>
      </c>
      <c r="B66" s="8" t="inlineStr">
        <is>
          <t>Sueldo Simtryx</t>
        </is>
      </c>
      <c r="C66" s="8" t="inlineStr">
        <is>
          <t>Ingreso</t>
        </is>
      </c>
      <c r="D66" s="10">
        <f>'Plan mensual'!C10</f>
        <v/>
      </c>
      <c r="E66" s="9" t="n"/>
      <c r="F66" s="9">
        <f>F63+D66-E66</f>
        <v/>
      </c>
    </row>
    <row r="67">
      <c r="A67" s="7">
        <f>'Plan mensual'!$A$10+14</f>
        <v/>
      </c>
      <c r="B67" s="8" t="inlineStr">
        <is>
          <t>Pago estado de cuenta tarjeta (cargos del mes anterior)</t>
        </is>
      </c>
      <c r="C67" s="8" t="inlineStr">
        <is>
          <t>Tarjeta</t>
        </is>
      </c>
      <c r="D67" s="9" t="n"/>
      <c r="E67" s="10">
        <f>'Plan mensual'!F10</f>
        <v/>
      </c>
      <c r="F67" s="9">
        <f>F66+D67-E67</f>
        <v/>
      </c>
    </row>
    <row r="68">
      <c r="A68" s="7">
        <f>'Plan mensual'!$A$10+14</f>
        <v/>
      </c>
      <c r="B68" s="8" t="inlineStr">
        <is>
          <t>Cuota ExtraCash</t>
        </is>
      </c>
      <c r="C68" s="8" t="inlineStr">
        <is>
          <t>Deuda</t>
        </is>
      </c>
      <c r="D68" s="9" t="n"/>
      <c r="E68" s="10">
        <f>'Plan mensual'!G10</f>
        <v/>
      </c>
      <c r="F68" s="9">
        <f>F67+D68-E68</f>
        <v/>
      </c>
    </row>
    <row r="69">
      <c r="A69" s="7">
        <f>'Plan mensual'!$A$10+21</f>
        <v/>
      </c>
      <c r="B69" s="8" t="inlineStr">
        <is>
          <t>Prepago ExtraCash (reducir plazo)</t>
        </is>
      </c>
      <c r="C69" s="8" t="inlineStr">
        <is>
          <t>Deuda</t>
        </is>
      </c>
      <c r="D69" s="9" t="n"/>
      <c r="E69" s="10">
        <f>'Plan mensual'!J10</f>
        <v/>
      </c>
      <c r="F69" s="9">
        <f>F68+D69-E69</f>
        <v/>
      </c>
    </row>
    <row r="70">
      <c r="A70" s="7">
        <f>EOMONTH('Plan mensual'!$A$10,0)</f>
        <v/>
      </c>
      <c r="B70" s="8" t="inlineStr">
        <is>
          <t>Supermercado (total del mes)</t>
        </is>
      </c>
      <c r="C70" s="8" t="inlineStr">
        <is>
          <t>Gasto de vida</t>
        </is>
      </c>
      <c r="D70" s="9" t="n"/>
      <c r="E70" s="9">
        <f>Supuestos!$B$31</f>
        <v/>
      </c>
      <c r="F70" s="9">
        <f>F69+D70-E70</f>
        <v/>
      </c>
    </row>
    <row r="71">
      <c r="A71" s="7">
        <f>EOMONTH('Plan mensual'!$A$10,0)</f>
        <v/>
      </c>
      <c r="B71" s="8" t="inlineStr">
        <is>
          <t>Taxis (total del mes)</t>
        </is>
      </c>
      <c r="C71" s="8" t="inlineStr">
        <is>
          <t>Gasto de vida</t>
        </is>
      </c>
      <c r="D71" s="9" t="n"/>
      <c r="E71" s="9">
        <f>Supuestos!$B$32</f>
        <v/>
      </c>
      <c r="F71" s="9">
        <f>F70+D71-E71</f>
        <v/>
      </c>
    </row>
    <row r="72">
      <c r="A72" s="7">
        <f>EOMONTH('Plan mensual'!$A$10,0)</f>
        <v/>
      </c>
      <c r="B72" s="8" t="inlineStr">
        <is>
          <t>Otros (total del mes)</t>
        </is>
      </c>
      <c r="C72" s="8" t="inlineStr">
        <is>
          <t>Gasto de vida</t>
        </is>
      </c>
      <c r="D72" s="9" t="n"/>
      <c r="E72" s="9">
        <f>Supuestos!$B$33</f>
        <v/>
      </c>
      <c r="F72" s="9">
        <f>F71+D72-E72</f>
        <v/>
      </c>
    </row>
    <row r="73">
      <c r="A73" s="7">
        <f>EOMONTH('Plan mensual'!$A$10,0)</f>
        <v/>
      </c>
      <c r="B73" s="8" t="inlineStr">
        <is>
          <t>Contador Luxr (total del mes)</t>
        </is>
      </c>
      <c r="C73" s="8" t="inlineStr">
        <is>
          <t>Gasto de vida</t>
        </is>
      </c>
      <c r="D73" s="9" t="n"/>
      <c r="E73" s="9">
        <f>Supuestos!$B$34</f>
        <v/>
      </c>
      <c r="F73" s="9">
        <f>F72+D73-E73</f>
        <v/>
      </c>
    </row>
    <row r="74">
      <c r="A74" s="7">
        <f>'Plan mensual'!$A$10+9</f>
        <v/>
      </c>
      <c r="B74" s="8" t="inlineStr">
        <is>
          <t>Mantenimiento + agua (Yape)</t>
        </is>
      </c>
      <c r="C74" s="8" t="inlineStr">
        <is>
          <t>Gasto fijo</t>
        </is>
      </c>
      <c r="D74" s="9" t="n"/>
      <c r="E74" s="9">
        <f>IF('Plan mensual'!$A$10&lt;=Supuestos!$B$28,Supuestos!$B$27,0)</f>
        <v/>
      </c>
      <c r="F74" s="9">
        <f>F73+D74-E74</f>
        <v/>
      </c>
    </row>
    <row r="75">
      <c r="A75" s="11">
        <f>EOMONTH('Plan mensual'!$A$10,0)</f>
        <v/>
      </c>
      <c r="B75" s="12" t="inlineStr">
        <is>
          <t>SALDO FINAL DEL MES</t>
        </is>
      </c>
      <c r="C75" s="12">
        <f>"Apartado tarjeta: S/ "&amp;TEXT('Plan mensual'!H10,"#,##0.00")</f>
        <v/>
      </c>
      <c r="D75" s="13" t="n"/>
      <c r="E75" s="13" t="n"/>
      <c r="F75" s="13">
        <f>F74</f>
        <v/>
      </c>
      <c r="H75" s="14">
        <f>IF(ABS(F75-'Plan mensual'!K10)&lt;0.01,"OK","Revisar")</f>
        <v/>
      </c>
    </row>
    <row r="77">
      <c r="A77" s="5" t="inlineStr">
        <is>
          <t>Abril 2027</t>
        </is>
      </c>
      <c r="B77" s="6" t="n"/>
      <c r="C77" s="6" t="n"/>
      <c r="D77" s="6" t="n"/>
      <c r="E77" s="6" t="n"/>
      <c r="F77" s="6" t="n"/>
    </row>
    <row r="78">
      <c r="A78" s="7">
        <f>'Plan mensual'!$A$11-1</f>
        <v/>
      </c>
      <c r="B78" s="8" t="inlineStr">
        <is>
          <t>Sueldo Simtryx</t>
        </is>
      </c>
      <c r="C78" s="8" t="inlineStr">
        <is>
          <t>Ingreso</t>
        </is>
      </c>
      <c r="D78" s="10">
        <f>'Plan mensual'!C11</f>
        <v/>
      </c>
      <c r="E78" s="9" t="n"/>
      <c r="F78" s="9">
        <f>F75+D78-E78</f>
        <v/>
      </c>
    </row>
    <row r="79">
      <c r="A79" s="7">
        <f>'Plan mensual'!$A$11+14</f>
        <v/>
      </c>
      <c r="B79" s="8" t="inlineStr">
        <is>
          <t>Pago estado de cuenta tarjeta (cargos del mes anterior)</t>
        </is>
      </c>
      <c r="C79" s="8" t="inlineStr">
        <is>
          <t>Tarjeta</t>
        </is>
      </c>
      <c r="D79" s="9" t="n"/>
      <c r="E79" s="10">
        <f>'Plan mensual'!F11</f>
        <v/>
      </c>
      <c r="F79" s="9">
        <f>F78+D79-E79</f>
        <v/>
      </c>
    </row>
    <row r="80">
      <c r="A80" s="7">
        <f>'Plan mensual'!$A$11+14</f>
        <v/>
      </c>
      <c r="B80" s="8" t="inlineStr">
        <is>
          <t>Cuota ExtraCash</t>
        </is>
      </c>
      <c r="C80" s="8" t="inlineStr">
        <is>
          <t>Deuda</t>
        </is>
      </c>
      <c r="D80" s="9" t="n"/>
      <c r="E80" s="10">
        <f>'Plan mensual'!G11</f>
        <v/>
      </c>
      <c r="F80" s="9">
        <f>F79+D80-E80</f>
        <v/>
      </c>
    </row>
    <row r="81">
      <c r="A81" s="7">
        <f>'Plan mensual'!$A$11+21</f>
        <v/>
      </c>
      <c r="B81" s="8" t="inlineStr">
        <is>
          <t>Prepago ExtraCash (reducir plazo)</t>
        </is>
      </c>
      <c r="C81" s="8" t="inlineStr">
        <is>
          <t>Deuda</t>
        </is>
      </c>
      <c r="D81" s="9" t="n"/>
      <c r="E81" s="10">
        <f>'Plan mensual'!J11</f>
        <v/>
      </c>
      <c r="F81" s="9">
        <f>F80+D81-E81</f>
        <v/>
      </c>
    </row>
    <row r="82">
      <c r="A82" s="7">
        <f>EOMONTH('Plan mensual'!$A$11,0)</f>
        <v/>
      </c>
      <c r="B82" s="8" t="inlineStr">
        <is>
          <t>Supermercado (total del mes)</t>
        </is>
      </c>
      <c r="C82" s="8" t="inlineStr">
        <is>
          <t>Gasto de vida</t>
        </is>
      </c>
      <c r="D82" s="9" t="n"/>
      <c r="E82" s="9">
        <f>Supuestos!$B$31</f>
        <v/>
      </c>
      <c r="F82" s="9">
        <f>F81+D82-E82</f>
        <v/>
      </c>
    </row>
    <row r="83">
      <c r="A83" s="7">
        <f>EOMONTH('Plan mensual'!$A$11,0)</f>
        <v/>
      </c>
      <c r="B83" s="8" t="inlineStr">
        <is>
          <t>Taxis (total del mes)</t>
        </is>
      </c>
      <c r="C83" s="8" t="inlineStr">
        <is>
          <t>Gasto de vida</t>
        </is>
      </c>
      <c r="D83" s="9" t="n"/>
      <c r="E83" s="9">
        <f>Supuestos!$B$32</f>
        <v/>
      </c>
      <c r="F83" s="9">
        <f>F82+D83-E83</f>
        <v/>
      </c>
    </row>
    <row r="84">
      <c r="A84" s="7">
        <f>EOMONTH('Plan mensual'!$A$11,0)</f>
        <v/>
      </c>
      <c r="B84" s="8" t="inlineStr">
        <is>
          <t>Otros (total del mes)</t>
        </is>
      </c>
      <c r="C84" s="8" t="inlineStr">
        <is>
          <t>Gasto de vida</t>
        </is>
      </c>
      <c r="D84" s="9" t="n"/>
      <c r="E84" s="9">
        <f>Supuestos!$B$33</f>
        <v/>
      </c>
      <c r="F84" s="9">
        <f>F83+D84-E84</f>
        <v/>
      </c>
    </row>
    <row r="85">
      <c r="A85" s="7">
        <f>EOMONTH('Plan mensual'!$A$11,0)</f>
        <v/>
      </c>
      <c r="B85" s="8" t="inlineStr">
        <is>
          <t>Contador Luxr (total del mes)</t>
        </is>
      </c>
      <c r="C85" s="8" t="inlineStr">
        <is>
          <t>Gasto de vida</t>
        </is>
      </c>
      <c r="D85" s="9" t="n"/>
      <c r="E85" s="9">
        <f>Supuestos!$B$34</f>
        <v/>
      </c>
      <c r="F85" s="9">
        <f>F84+D85-E85</f>
        <v/>
      </c>
    </row>
    <row r="86">
      <c r="A86" s="7">
        <f>'Plan mensual'!$A$11+9</f>
        <v/>
      </c>
      <c r="B86" s="8" t="inlineStr">
        <is>
          <t>Mantenimiento + agua (Yape)</t>
        </is>
      </c>
      <c r="C86" s="8" t="inlineStr">
        <is>
          <t>Gasto fijo</t>
        </is>
      </c>
      <c r="D86" s="9" t="n"/>
      <c r="E86" s="9">
        <f>IF('Plan mensual'!$A$11&lt;=Supuestos!$B$28,Supuestos!$B$27,0)</f>
        <v/>
      </c>
      <c r="F86" s="9">
        <f>F85+D86-E86</f>
        <v/>
      </c>
    </row>
    <row r="87">
      <c r="A87" s="11">
        <f>EOMONTH('Plan mensual'!$A$11,0)</f>
        <v/>
      </c>
      <c r="B87" s="12" t="inlineStr">
        <is>
          <t>SALDO FINAL DEL MES</t>
        </is>
      </c>
      <c r="C87" s="12">
        <f>"Apartado tarjeta: S/ "&amp;TEXT('Plan mensual'!H11,"#,##0.00")</f>
        <v/>
      </c>
      <c r="D87" s="13" t="n"/>
      <c r="E87" s="13" t="n"/>
      <c r="F87" s="13">
        <f>F86</f>
        <v/>
      </c>
      <c r="H87" s="14">
        <f>IF(ABS(F87-'Plan mensual'!K11)&lt;0.01,"OK","Revisar")</f>
        <v/>
      </c>
    </row>
    <row r="89">
      <c r="A89" s="5" t="inlineStr">
        <is>
          <t>Mayo 2027</t>
        </is>
      </c>
      <c r="B89" s="6" t="n"/>
      <c r="C89" s="6" t="n"/>
      <c r="D89" s="6" t="n"/>
      <c r="E89" s="6" t="n"/>
      <c r="F89" s="6" t="n"/>
    </row>
    <row r="90">
      <c r="A90" s="7">
        <f>'Plan mensual'!$A$12-1</f>
        <v/>
      </c>
      <c r="B90" s="8" t="inlineStr">
        <is>
          <t>Sueldo Simtryx</t>
        </is>
      </c>
      <c r="C90" s="8" t="inlineStr">
        <is>
          <t>Ingreso</t>
        </is>
      </c>
      <c r="D90" s="10">
        <f>'Plan mensual'!C12</f>
        <v/>
      </c>
      <c r="E90" s="9" t="n"/>
      <c r="F90" s="9">
        <f>F87+D90-E90</f>
        <v/>
      </c>
    </row>
    <row r="91">
      <c r="A91" s="7">
        <f>'Plan mensual'!$A$12+14</f>
        <v/>
      </c>
      <c r="B91" s="8" t="inlineStr">
        <is>
          <t>Pago estado de cuenta tarjeta (cargos del mes anterior)</t>
        </is>
      </c>
      <c r="C91" s="8" t="inlineStr">
        <is>
          <t>Tarjeta</t>
        </is>
      </c>
      <c r="D91" s="9" t="n"/>
      <c r="E91" s="10">
        <f>'Plan mensual'!F12</f>
        <v/>
      </c>
      <c r="F91" s="9">
        <f>F90+D91-E91</f>
        <v/>
      </c>
    </row>
    <row r="92">
      <c r="A92" s="7">
        <f>'Plan mensual'!$A$12+14</f>
        <v/>
      </c>
      <c r="B92" s="8" t="inlineStr">
        <is>
          <t>Cuota ExtraCash</t>
        </is>
      </c>
      <c r="C92" s="8" t="inlineStr">
        <is>
          <t>Deuda</t>
        </is>
      </c>
      <c r="D92" s="9" t="n"/>
      <c r="E92" s="10">
        <f>'Plan mensual'!G12</f>
        <v/>
      </c>
      <c r="F92" s="9">
        <f>F91+D92-E92</f>
        <v/>
      </c>
    </row>
    <row r="93">
      <c r="A93" s="7">
        <f>'Plan mensual'!$A$12+21</f>
        <v/>
      </c>
      <c r="B93" s="8" t="inlineStr">
        <is>
          <t>Prepago ExtraCash (reducir plazo)</t>
        </is>
      </c>
      <c r="C93" s="8" t="inlineStr">
        <is>
          <t>Deuda</t>
        </is>
      </c>
      <c r="D93" s="9" t="n"/>
      <c r="E93" s="10">
        <f>'Plan mensual'!J12</f>
        <v/>
      </c>
      <c r="F93" s="9">
        <f>F92+D93-E93</f>
        <v/>
      </c>
    </row>
    <row r="94">
      <c r="A94" s="7">
        <f>EOMONTH('Plan mensual'!$A$12,0)</f>
        <v/>
      </c>
      <c r="B94" s="8" t="inlineStr">
        <is>
          <t>Supermercado (total del mes)</t>
        </is>
      </c>
      <c r="C94" s="8" t="inlineStr">
        <is>
          <t>Gasto de vida</t>
        </is>
      </c>
      <c r="D94" s="9" t="n"/>
      <c r="E94" s="9">
        <f>Supuestos!$B$31</f>
        <v/>
      </c>
      <c r="F94" s="9">
        <f>F93+D94-E94</f>
        <v/>
      </c>
    </row>
    <row r="95">
      <c r="A95" s="7">
        <f>EOMONTH('Plan mensual'!$A$12,0)</f>
        <v/>
      </c>
      <c r="B95" s="8" t="inlineStr">
        <is>
          <t>Taxis (total del mes)</t>
        </is>
      </c>
      <c r="C95" s="8" t="inlineStr">
        <is>
          <t>Gasto de vida</t>
        </is>
      </c>
      <c r="D95" s="9" t="n"/>
      <c r="E95" s="9">
        <f>Supuestos!$B$32</f>
        <v/>
      </c>
      <c r="F95" s="9">
        <f>F94+D95-E95</f>
        <v/>
      </c>
    </row>
    <row r="96">
      <c r="A96" s="7">
        <f>EOMONTH('Plan mensual'!$A$12,0)</f>
        <v/>
      </c>
      <c r="B96" s="8" t="inlineStr">
        <is>
          <t>Otros (total del mes)</t>
        </is>
      </c>
      <c r="C96" s="8" t="inlineStr">
        <is>
          <t>Gasto de vida</t>
        </is>
      </c>
      <c r="D96" s="9" t="n"/>
      <c r="E96" s="9">
        <f>Supuestos!$B$33</f>
        <v/>
      </c>
      <c r="F96" s="9">
        <f>F95+D96-E96</f>
        <v/>
      </c>
    </row>
    <row r="97">
      <c r="A97" s="7">
        <f>EOMONTH('Plan mensual'!$A$12,0)</f>
        <v/>
      </c>
      <c r="B97" s="8" t="inlineStr">
        <is>
          <t>Contador Luxr (total del mes)</t>
        </is>
      </c>
      <c r="C97" s="8" t="inlineStr">
        <is>
          <t>Gasto de vida</t>
        </is>
      </c>
      <c r="D97" s="9" t="n"/>
      <c r="E97" s="9">
        <f>Supuestos!$B$34</f>
        <v/>
      </c>
      <c r="F97" s="9">
        <f>F96+D97-E97</f>
        <v/>
      </c>
    </row>
    <row r="98">
      <c r="A98" s="7">
        <f>'Plan mensual'!$A$12+9</f>
        <v/>
      </c>
      <c r="B98" s="8" t="inlineStr">
        <is>
          <t>Mantenimiento + agua (Yape)</t>
        </is>
      </c>
      <c r="C98" s="8" t="inlineStr">
        <is>
          <t>Gasto fijo</t>
        </is>
      </c>
      <c r="D98" s="9" t="n"/>
      <c r="E98" s="9">
        <f>IF('Plan mensual'!$A$12&lt;=Supuestos!$B$28,Supuestos!$B$27,0)</f>
        <v/>
      </c>
      <c r="F98" s="9">
        <f>F97+D98-E98</f>
        <v/>
      </c>
    </row>
    <row r="99">
      <c r="A99" s="11">
        <f>EOMONTH('Plan mensual'!$A$12,0)</f>
        <v/>
      </c>
      <c r="B99" s="12" t="inlineStr">
        <is>
          <t>SALDO FINAL DEL MES</t>
        </is>
      </c>
      <c r="C99" s="12">
        <f>"Apartado tarjeta: S/ "&amp;TEXT('Plan mensual'!H12,"#,##0.00")</f>
        <v/>
      </c>
      <c r="D99" s="13" t="n"/>
      <c r="E99" s="13" t="n"/>
      <c r="F99" s="13">
        <f>F98</f>
        <v/>
      </c>
      <c r="H99" s="14">
        <f>IF(ABS(F99-'Plan mensual'!K12)&lt;0.01,"OK","Revisar")</f>
        <v/>
      </c>
    </row>
    <row r="101">
      <c r="A101" s="5" t="inlineStr">
        <is>
          <t>Junio 2027</t>
        </is>
      </c>
      <c r="B101" s="6" t="n"/>
      <c r="C101" s="6" t="n"/>
      <c r="D101" s="6" t="n"/>
      <c r="E101" s="6" t="n"/>
      <c r="F101" s="6" t="n"/>
    </row>
    <row r="102">
      <c r="A102" s="7">
        <f>'Plan mensual'!$A$13-1</f>
        <v/>
      </c>
      <c r="B102" s="8" t="inlineStr">
        <is>
          <t>Sueldo Simtryx</t>
        </is>
      </c>
      <c r="C102" s="8" t="inlineStr">
        <is>
          <t>Ingreso</t>
        </is>
      </c>
      <c r="D102" s="10">
        <f>'Plan mensual'!C13</f>
        <v/>
      </c>
      <c r="E102" s="9" t="n"/>
      <c r="F102" s="9">
        <f>F99+D102-E102</f>
        <v/>
      </c>
    </row>
    <row r="103">
      <c r="A103" s="7">
        <f>'Plan mensual'!$A$13+14</f>
        <v/>
      </c>
      <c r="B103" s="8" t="inlineStr">
        <is>
          <t>Pago estado de cuenta tarjeta (cargos del mes anterior)</t>
        </is>
      </c>
      <c r="C103" s="8" t="inlineStr">
        <is>
          <t>Tarjeta</t>
        </is>
      </c>
      <c r="D103" s="9" t="n"/>
      <c r="E103" s="10">
        <f>'Plan mensual'!F13</f>
        <v/>
      </c>
      <c r="F103" s="9">
        <f>F102+D103-E103</f>
        <v/>
      </c>
    </row>
    <row r="104">
      <c r="A104" s="7">
        <f>'Plan mensual'!$A$13+14</f>
        <v/>
      </c>
      <c r="B104" s="8" t="inlineStr">
        <is>
          <t>Cuota ExtraCash</t>
        </is>
      </c>
      <c r="C104" s="8" t="inlineStr">
        <is>
          <t>Deuda</t>
        </is>
      </c>
      <c r="D104" s="9" t="n"/>
      <c r="E104" s="10">
        <f>'Plan mensual'!G13</f>
        <v/>
      </c>
      <c r="F104" s="9">
        <f>F103+D104-E104</f>
        <v/>
      </c>
    </row>
    <row r="105">
      <c r="A105" s="7">
        <f>'Plan mensual'!$A$13+21</f>
        <v/>
      </c>
      <c r="B105" s="8" t="inlineStr">
        <is>
          <t>Prepago ExtraCash (reducir plazo)</t>
        </is>
      </c>
      <c r="C105" s="8" t="inlineStr">
        <is>
          <t>Deuda</t>
        </is>
      </c>
      <c r="D105" s="9" t="n"/>
      <c r="E105" s="10">
        <f>'Plan mensual'!J13</f>
        <v/>
      </c>
      <c r="F105" s="9">
        <f>F104+D105-E105</f>
        <v/>
      </c>
    </row>
    <row r="106">
      <c r="A106" s="7">
        <f>EOMONTH('Plan mensual'!$A$13,0)</f>
        <v/>
      </c>
      <c r="B106" s="8" t="inlineStr">
        <is>
          <t>Supermercado (total del mes)</t>
        </is>
      </c>
      <c r="C106" s="8" t="inlineStr">
        <is>
          <t>Gasto de vida</t>
        </is>
      </c>
      <c r="D106" s="9" t="n"/>
      <c r="E106" s="9">
        <f>Supuestos!$B$31</f>
        <v/>
      </c>
      <c r="F106" s="9">
        <f>F105+D106-E106</f>
        <v/>
      </c>
    </row>
    <row r="107">
      <c r="A107" s="7">
        <f>EOMONTH('Plan mensual'!$A$13,0)</f>
        <v/>
      </c>
      <c r="B107" s="8" t="inlineStr">
        <is>
          <t>Taxis (total del mes)</t>
        </is>
      </c>
      <c r="C107" s="8" t="inlineStr">
        <is>
          <t>Gasto de vida</t>
        </is>
      </c>
      <c r="D107" s="9" t="n"/>
      <c r="E107" s="9">
        <f>Supuestos!$B$32</f>
        <v/>
      </c>
      <c r="F107" s="9">
        <f>F106+D107-E107</f>
        <v/>
      </c>
    </row>
    <row r="108">
      <c r="A108" s="7">
        <f>EOMONTH('Plan mensual'!$A$13,0)</f>
        <v/>
      </c>
      <c r="B108" s="8" t="inlineStr">
        <is>
          <t>Otros (total del mes)</t>
        </is>
      </c>
      <c r="C108" s="8" t="inlineStr">
        <is>
          <t>Gasto de vida</t>
        </is>
      </c>
      <c r="D108" s="9" t="n"/>
      <c r="E108" s="9">
        <f>Supuestos!$B$33</f>
        <v/>
      </c>
      <c r="F108" s="9">
        <f>F107+D108-E108</f>
        <v/>
      </c>
    </row>
    <row r="109">
      <c r="A109" s="7">
        <f>EOMONTH('Plan mensual'!$A$13,0)</f>
        <v/>
      </c>
      <c r="B109" s="8" t="inlineStr">
        <is>
          <t>Contador Luxr (total del mes)</t>
        </is>
      </c>
      <c r="C109" s="8" t="inlineStr">
        <is>
          <t>Gasto de vida</t>
        </is>
      </c>
      <c r="D109" s="9" t="n"/>
      <c r="E109" s="9">
        <f>Supuestos!$B$34</f>
        <v/>
      </c>
      <c r="F109" s="9">
        <f>F108+D109-E109</f>
        <v/>
      </c>
    </row>
    <row r="110">
      <c r="A110" s="7">
        <f>'Plan mensual'!$A$13+9</f>
        <v/>
      </c>
      <c r="B110" s="8" t="inlineStr">
        <is>
          <t>Mantenimiento + agua (Yape)</t>
        </is>
      </c>
      <c r="C110" s="8" t="inlineStr">
        <is>
          <t>Gasto fijo</t>
        </is>
      </c>
      <c r="D110" s="9" t="n"/>
      <c r="E110" s="9">
        <f>IF('Plan mensual'!$A$13&lt;=Supuestos!$B$28,Supuestos!$B$27,0)</f>
        <v/>
      </c>
      <c r="F110" s="9">
        <f>F109+D110-E110</f>
        <v/>
      </c>
    </row>
    <row r="111">
      <c r="A111" s="11">
        <f>EOMONTH('Plan mensual'!$A$13,0)</f>
        <v/>
      </c>
      <c r="B111" s="12" t="inlineStr">
        <is>
          <t>SALDO FINAL DEL MES</t>
        </is>
      </c>
      <c r="C111" s="12">
        <f>"Apartado tarjeta: S/ "&amp;TEXT('Plan mensual'!H13,"#,##0.00")</f>
        <v/>
      </c>
      <c r="D111" s="13" t="n"/>
      <c r="E111" s="13" t="n"/>
      <c r="F111" s="13">
        <f>F110</f>
        <v/>
      </c>
      <c r="H111" s="14">
        <f>IF(ABS(F111-'Plan mensual'!K13)&lt;0.01,"OK","Revisar")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62" customWidth="1" min="3" max="3"/>
  </cols>
  <sheetData>
    <row r="1">
      <c r="A1" s="1" t="inlineStr">
        <is>
          <t>Supuestos - Libro de caja escenario A2</t>
        </is>
      </c>
    </row>
    <row r="2">
      <c r="A2" s="2" t="inlineStr">
        <is>
          <t>Azul = dato editable. Amarillo = estimado, reemplazar con el dato real cuando lo tengas.</t>
        </is>
      </c>
    </row>
    <row r="4">
      <c r="A4" s="15" t="inlineStr">
        <is>
          <t>Efectivo y fechas</t>
        </is>
      </c>
      <c r="B4" s="16" t="n"/>
      <c r="C4" s="16" t="n"/>
    </row>
    <row r="5">
      <c r="A5" s="14" t="inlineStr">
        <is>
          <t>Fecha inicio</t>
        </is>
      </c>
      <c r="B5" s="17" t="n">
        <v>46300</v>
      </c>
      <c r="C5" s="2" t="inlineStr">
        <is>
          <t>Hoy</t>
        </is>
      </c>
    </row>
    <row r="6">
      <c r="A6" s="14" t="inlineStr">
        <is>
          <t>Saldo cuenta Interbank</t>
        </is>
      </c>
      <c r="B6" s="18" t="n">
        <v>2266.99</v>
      </c>
      <c r="C6" s="2" t="inlineStr">
        <is>
          <t>Dato del usuario, 05/10/2026</t>
        </is>
      </c>
    </row>
    <row r="7">
      <c r="A7" s="14" t="inlineStr">
        <is>
          <t>Saldo cuenta BCP</t>
        </is>
      </c>
      <c r="B7" s="18" t="n">
        <v>482.06</v>
      </c>
      <c r="C7" s="2" t="inlineStr">
        <is>
          <t>Dato del usuario, 05/10/2026. Transferir a Interbank</t>
        </is>
      </c>
    </row>
    <row r="8">
      <c r="A8" s="14" t="inlineStr">
        <is>
          <t>Sueldo neto mensual (llega fin de mes)</t>
        </is>
      </c>
      <c r="B8" s="18" t="n">
        <v>4600</v>
      </c>
      <c r="C8" s="2" t="inlineStr">
        <is>
          <t>Simtryx, recibos por honorarios</t>
        </is>
      </c>
    </row>
    <row r="9">
      <c r="A9" s="15" t="inlineStr">
        <is>
          <t>ExtraCash nuevo (absorbe el actual)</t>
        </is>
      </c>
      <c r="B9" s="16" t="n"/>
      <c r="C9" s="16" t="n"/>
    </row>
    <row r="10">
      <c r="A10" s="14" t="inlineStr">
        <is>
          <t>Monto ExtraCash</t>
        </is>
      </c>
      <c r="B10" s="18" t="n">
        <v>10900</v>
      </c>
      <c r="C10" s="2" t="inlineStr">
        <is>
          <t>Máximo ofrecido por la app</t>
        </is>
      </c>
    </row>
    <row r="11">
      <c r="A11" s="14" t="inlineStr">
        <is>
          <t>Deuda ExtraCash actual a cancelar</t>
        </is>
      </c>
      <c r="B11" s="18" t="n">
        <v>3430.1</v>
      </c>
      <c r="C11" s="2" t="inlineStr">
        <is>
          <t>Pantalla de confirmación de la app</t>
        </is>
      </c>
    </row>
    <row r="12">
      <c r="A12" s="14" t="inlineStr">
        <is>
          <t>Factor importe financiado / monto</t>
        </is>
      </c>
      <c r="B12" s="19" t="n">
        <v>1.00514</v>
      </c>
      <c r="C12" s="2" t="inlineStr">
        <is>
          <t>App: 9,046.26 financiado por 9,000 (interés hasta 1ª cuota)</t>
        </is>
      </c>
    </row>
    <row r="13">
      <c r="A13" s="14" t="inlineStr">
        <is>
          <t>Cuota mensual (24 meses)</t>
        </is>
      </c>
      <c r="B13" s="18" t="n">
        <v>534.5599999999999</v>
      </c>
      <c r="C13" s="2" t="inlineStr">
        <is>
          <t>Confirmado en la app Interbank (simulación 10,900 a 24 meses)</t>
        </is>
      </c>
    </row>
    <row r="14">
      <c r="A14" s="14" t="inlineStr">
        <is>
          <t>TEA</t>
        </is>
      </c>
      <c r="B14" s="20" t="n">
        <v>0.1663</v>
      </c>
      <c r="C14" s="2" t="inlineStr">
        <is>
          <t>App Interbank</t>
        </is>
      </c>
    </row>
    <row r="15">
      <c r="A15" s="14" t="inlineStr">
        <is>
          <t>Seguro desgravamen incluido en la cuota</t>
        </is>
      </c>
      <c r="B15" s="21" t="n">
        <v>3.55</v>
      </c>
      <c r="C15" s="2" t="inlineStr">
        <is>
          <t>Estimado (cuota app - cuota financiera)</t>
        </is>
      </c>
    </row>
    <row r="16">
      <c r="A16" s="14" t="inlineStr">
        <is>
          <t>Monto a recibir</t>
        </is>
      </c>
      <c r="B16" s="22">
        <f>Supuestos!$B$10-Supuestos!$B$11</f>
        <v/>
      </c>
      <c r="C16" s="2" t="inlineStr"/>
    </row>
    <row r="17">
      <c r="A17" s="14" t="inlineStr">
        <is>
          <t>Importe financiado</t>
        </is>
      </c>
      <c r="B17" s="22">
        <f>Supuestos!$B$10*Supuestos!$B$12</f>
        <v/>
      </c>
      <c r="C17" s="2" t="inlineStr"/>
    </row>
    <row r="18">
      <c r="A18" s="14" t="inlineStr">
        <is>
          <t>TEM</t>
        </is>
      </c>
      <c r="B18" s="23">
        <f>(1+Supuestos!$B$14)^(1/12)-1</f>
        <v/>
      </c>
      <c r="C18" s="2" t="inlineStr"/>
    </row>
    <row r="19">
      <c r="A19" s="15" t="inlineStr">
        <is>
          <t>Tarjeta Visa Infinite</t>
        </is>
      </c>
      <c r="B19" s="16" t="n"/>
      <c r="C19" s="16" t="n"/>
    </row>
    <row r="20">
      <c r="A20" s="14" t="inlineStr">
        <is>
          <t>Deuda total tarjeta (a pagar con el préstamo)</t>
        </is>
      </c>
      <c r="B20" s="18" t="n">
        <v>8791.82</v>
      </c>
      <c r="C20" s="2" t="inlineStr">
        <is>
          <t>App, pestaña Deuda total</t>
        </is>
      </c>
    </row>
    <row r="21">
      <c r="A21" s="14" t="inlineStr">
        <is>
          <t>Consumido tarjeta</t>
        </is>
      </c>
      <c r="B21" s="18" t="n">
        <v>8992.74</v>
      </c>
      <c r="C21" s="2" t="inlineStr">
        <is>
          <t>App</t>
        </is>
      </c>
    </row>
    <row r="22">
      <c r="A22" s="14" t="inlineStr">
        <is>
          <t>Cargos pendientes (aparecen en el estado del 21/10)</t>
        </is>
      </c>
      <c r="B22" s="22">
        <f>Supuestos!$B$21-Supuestos!$B$20</f>
        <v/>
      </c>
      <c r="C22" s="2" t="inlineStr"/>
    </row>
    <row r="23">
      <c r="A23" s="14" t="inlineStr">
        <is>
          <t>Interés residual + seguro (estado 21/10)</t>
        </is>
      </c>
      <c r="B23" s="21" t="n">
        <v>275</v>
      </c>
      <c r="C23" s="2" t="inlineStr">
        <is>
          <t>Estimado. Reemplazar con el estado de cuenta real</t>
        </is>
      </c>
    </row>
    <row r="24">
      <c r="A24" s="14" t="inlineStr">
        <is>
          <t>Servicios a la tarjeta (luz, gas, internet, celular, Interseguro)</t>
        </is>
      </c>
      <c r="B24" s="18" t="n">
        <v>346.5</v>
      </c>
      <c r="C24" s="2" t="inlineStr">
        <is>
          <t>313 + 33.50, estado de cuenta</t>
        </is>
      </c>
    </row>
    <row r="25">
      <c r="A25" s="14" t="inlineStr">
        <is>
          <t>Pensión PUCP (a la tarjeta)</t>
        </is>
      </c>
      <c r="B25" s="18" t="n">
        <v>815</v>
      </c>
      <c r="C25" s="2" t="inlineStr">
        <is>
          <t>Estado de cuenta</t>
        </is>
      </c>
    </row>
    <row r="26">
      <c r="A26" s="14" t="inlineStr">
        <is>
          <t>Último mes de pensión</t>
        </is>
      </c>
      <c r="B26" s="24" t="n">
        <v>46357</v>
      </c>
      <c r="C26" s="2" t="inlineStr">
        <is>
          <t>Usuario: hasta fin de año</t>
        </is>
      </c>
    </row>
    <row r="27">
      <c r="A27" s="14" t="inlineStr">
        <is>
          <t>Mantenimiento + agua del edificio (débito)</t>
        </is>
      </c>
      <c r="B27" s="18" t="n">
        <v>197</v>
      </c>
      <c r="C27" s="2" t="inlineStr">
        <is>
          <t>Usuario 11/10/2026: se paga cada mes hasta diciembre</t>
        </is>
      </c>
    </row>
    <row r="28">
      <c r="A28" s="14" t="inlineStr">
        <is>
          <t>Último mes de mantenimiento</t>
        </is>
      </c>
      <c r="B28" s="24" t="n">
        <v>46357</v>
      </c>
      <c r="C28" s="2" t="inlineStr">
        <is>
          <t>Usuario: hasta diciembre (mudanza)</t>
        </is>
      </c>
    </row>
    <row r="29">
      <c r="A29" s="15" t="inlineStr">
        <is>
          <t>Gastos de vida con débito (mes completo)</t>
        </is>
      </c>
      <c r="B29" s="16" t="n"/>
      <c r="C29" s="16" t="n"/>
    </row>
    <row r="30">
      <c r="A30" s="25" t="inlineStr">
        <is>
          <t>Rubro</t>
        </is>
      </c>
      <c r="B30" s="25" t="inlineStr">
        <is>
          <t>Mes completo</t>
        </is>
      </c>
      <c r="C30" s="25" t="inlineStr">
        <is>
          <t>Octubre (desde el 05/10)</t>
        </is>
      </c>
    </row>
    <row r="31">
      <c r="A31" s="14" t="inlineStr">
        <is>
          <t>Supermercado</t>
        </is>
      </c>
      <c r="B31" s="18" t="n">
        <v>500</v>
      </c>
      <c r="C31" s="18" t="n">
        <v>400</v>
      </c>
    </row>
    <row r="32">
      <c r="A32" s="14" t="inlineStr">
        <is>
          <t>Taxis</t>
        </is>
      </c>
      <c r="B32" s="18" t="n">
        <v>300</v>
      </c>
      <c r="C32" s="18" t="n">
        <v>225</v>
      </c>
    </row>
    <row r="33">
      <c r="A33" s="14" t="inlineStr">
        <is>
          <t>Otros</t>
        </is>
      </c>
      <c r="B33" s="18" t="n">
        <v>200</v>
      </c>
      <c r="C33" s="18" t="n">
        <v>120</v>
      </c>
    </row>
    <row r="34">
      <c r="A34" s="14" t="inlineStr">
        <is>
          <t>Contador Luxr</t>
        </is>
      </c>
      <c r="B34" s="18" t="n">
        <v>150</v>
      </c>
      <c r="C34" s="18" t="n">
        <v>150</v>
      </c>
    </row>
    <row r="36">
      <c r="A36" s="2" t="inlineStr">
        <is>
          <t>Notas:</t>
        </is>
      </c>
    </row>
    <row r="37">
      <c r="A37" s="2" t="inlineStr">
        <is>
          <t>- Regla: la tarjeta solo carga servicios fijos y se paga completa el 15 del mes siguiente.</t>
        </is>
      </c>
    </row>
    <row r="38">
      <c r="A38" s="2" t="inlineStr">
        <is>
          <t>- Cada mes se aparta en caja lo cargado a la tarjeta ese mes. El resto va a prepago (reducir plazo).</t>
        </is>
      </c>
    </row>
    <row r="39">
      <c r="A39" s="2" t="inlineStr">
        <is>
          <t>- El interés del ExtraCash se aproxima con TEM sobre el saldo de inicio de 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Plan mensual - caja y deuda</t>
        </is>
      </c>
    </row>
    <row r="2">
      <c r="A2" s="2" t="inlineStr">
        <is>
          <t>Todo se calcula desde Supuestos. Caja = cuentas de débito (Interbank + BCP).</t>
        </is>
      </c>
    </row>
    <row r="4" ht="48" customHeight="1">
      <c r="A4" s="26" t="inlineStr">
        <is>
          <t>Mes</t>
        </is>
      </c>
      <c r="B4" s="26" t="inlineStr">
        <is>
          <t>Caja inicial</t>
        </is>
      </c>
      <c r="C4" s="26" t="inlineStr">
        <is>
          <t>Sueldo</t>
        </is>
      </c>
      <c r="D4" s="26" t="inlineStr">
        <is>
          <t>Desembolso neto</t>
        </is>
      </c>
      <c r="E4" s="26" t="inlineStr">
        <is>
          <t>Gastos de vida</t>
        </is>
      </c>
      <c r="F4" s="26" t="inlineStr">
        <is>
          <t>Pago tarjeta</t>
        </is>
      </c>
      <c r="G4" s="26" t="inlineStr">
        <is>
          <t>Cuota ExtraCash</t>
        </is>
      </c>
      <c r="H4" s="26" t="inlineStr">
        <is>
          <t>Cargos a tarjeta del mes (apartar)</t>
        </is>
      </c>
      <c r="I4" s="26" t="inlineStr">
        <is>
          <t>Disponible para prepago</t>
        </is>
      </c>
      <c r="J4" s="26" t="inlineStr">
        <is>
          <t>Prepago</t>
        </is>
      </c>
      <c r="K4" s="26" t="inlineStr">
        <is>
          <t>Caja final</t>
        </is>
      </c>
      <c r="L4" s="26" t="inlineStr">
        <is>
          <t>ExtraCash saldo inicial</t>
        </is>
      </c>
      <c r="M4" s="26" t="inlineStr">
        <is>
          <t>Interés</t>
        </is>
      </c>
      <c r="N4" s="26" t="inlineStr">
        <is>
          <t>Seguro</t>
        </is>
      </c>
      <c r="O4" s="26" t="inlineStr">
        <is>
          <t>ExtraCash saldo final</t>
        </is>
      </c>
      <c r="P4" s="26" t="inlineStr">
        <is>
          <t>Intereses acumulados</t>
        </is>
      </c>
    </row>
    <row r="5">
      <c r="A5" s="27">
        <f>DATE(YEAR(Supuestos!$B$5),MONTH(Supuestos!$B$5),1)</f>
        <v/>
      </c>
      <c r="B5" s="9">
        <f>Supuestos!$B$6+Supuestos!$B$7</f>
        <v/>
      </c>
      <c r="C5" s="9">
        <f>0</f>
        <v/>
      </c>
      <c r="D5" s="10">
        <f>Supuestos!$B$16</f>
        <v/>
      </c>
      <c r="E5" s="9">
        <f>Supuestos!$C$31+Supuestos!$C$32+Supuestos!$C$33+Supuestos!$C$34+IF(A5&lt;=Supuestos!$B$28,Supuestos!$B$27,0)</f>
        <v/>
      </c>
      <c r="F5" s="10">
        <f>Supuestos!$B$20</f>
        <v/>
      </c>
      <c r="G5" s="9">
        <f>IF(L5&gt;0.01,MIN(Supuestos!$B$13,L5+M5+N5),0)</f>
        <v/>
      </c>
      <c r="H5" s="9">
        <f>Supuestos!$B$24+IF(A5&lt;=Supuestos!$B$26,Supuestos!$B$25,0)</f>
        <v/>
      </c>
      <c r="I5" s="9">
        <f>B5+C5+D5-E5-F5-G5-H5</f>
        <v/>
      </c>
      <c r="J5" s="9">
        <f>MAX(0,MIN(I5,L5+M5+N5-G5))</f>
        <v/>
      </c>
      <c r="K5" s="9">
        <f>B5+C5+D5-E5-F5-G5-J5</f>
        <v/>
      </c>
      <c r="L5" s="9">
        <f>0</f>
        <v/>
      </c>
      <c r="M5" s="10">
        <f>L5*Supuestos!$B$18</f>
        <v/>
      </c>
      <c r="N5" s="10">
        <f>IF(L5&gt;0.01,Supuestos!$B$15,0)</f>
        <v/>
      </c>
      <c r="O5" s="10">
        <f>Supuestos!$B$17</f>
        <v/>
      </c>
      <c r="P5" s="9">
        <f>M5</f>
        <v/>
      </c>
    </row>
    <row r="6">
      <c r="A6" s="27">
        <f>DATE(YEAR(A5),MONTH(A5)+1,1)</f>
        <v/>
      </c>
      <c r="B6" s="9">
        <f>K5</f>
        <v/>
      </c>
      <c r="C6" s="10">
        <f>Supuestos!$B$8</f>
        <v/>
      </c>
      <c r="D6" s="9">
        <f>0</f>
        <v/>
      </c>
      <c r="E6" s="9">
        <f>Supuestos!$B$31+Supuestos!$B$32+Supuestos!$B$33+Supuestos!$B$34+IF(A6&lt;=Supuestos!$B$28,Supuestos!$B$27,0)</f>
        <v/>
      </c>
      <c r="F6" s="9">
        <f>H5+Supuestos!$B$22+Supuestos!$B$23</f>
        <v/>
      </c>
      <c r="G6" s="9">
        <f>IF(L6&gt;0.01,MIN(Supuestos!$B$13,L6+M6+N6),0)</f>
        <v/>
      </c>
      <c r="H6" s="9">
        <f>Supuestos!$B$24+IF(A6&lt;=Supuestos!$B$26,Supuestos!$B$25,0)</f>
        <v/>
      </c>
      <c r="I6" s="9">
        <f>B6+C6+D6-E6-F6-G6-H6</f>
        <v/>
      </c>
      <c r="J6" s="9">
        <f>MAX(0,MIN(I6,L6+M6+N6-G6))</f>
        <v/>
      </c>
      <c r="K6" s="9">
        <f>B6+C6+D6-E6-F6-G6-J6</f>
        <v/>
      </c>
      <c r="L6" s="9">
        <f>O5</f>
        <v/>
      </c>
      <c r="M6" s="10">
        <f>L6*Supuestos!$B$18</f>
        <v/>
      </c>
      <c r="N6" s="10">
        <f>IF(L6&gt;0.01,Supuestos!$B$15,0)</f>
        <v/>
      </c>
      <c r="O6" s="9">
        <f>L6+M6+N6-G6-J6</f>
        <v/>
      </c>
      <c r="P6" s="9">
        <f>P5+M6</f>
        <v/>
      </c>
    </row>
    <row r="7">
      <c r="A7" s="27">
        <f>DATE(YEAR(A6),MONTH(A6)+1,1)</f>
        <v/>
      </c>
      <c r="B7" s="9">
        <f>K6</f>
        <v/>
      </c>
      <c r="C7" s="10">
        <f>Supuestos!$B$8</f>
        <v/>
      </c>
      <c r="D7" s="9">
        <f>0</f>
        <v/>
      </c>
      <c r="E7" s="9">
        <f>Supuestos!$B$31+Supuestos!$B$32+Supuestos!$B$33+Supuestos!$B$34+IF(A7&lt;=Supuestos!$B$28,Supuestos!$B$27,0)</f>
        <v/>
      </c>
      <c r="F7" s="9">
        <f>H6</f>
        <v/>
      </c>
      <c r="G7" s="9">
        <f>IF(L7&gt;0.01,MIN(Supuestos!$B$13,L7+M7+N7),0)</f>
        <v/>
      </c>
      <c r="H7" s="9">
        <f>Supuestos!$B$24+IF(A7&lt;=Supuestos!$B$26,Supuestos!$B$25,0)</f>
        <v/>
      </c>
      <c r="I7" s="9">
        <f>B7+C7+D7-E7-F7-G7-H7</f>
        <v/>
      </c>
      <c r="J7" s="9">
        <f>MAX(0,MIN(I7,L7+M7+N7-G7))</f>
        <v/>
      </c>
      <c r="K7" s="9">
        <f>B7+C7+D7-E7-F7-G7-J7</f>
        <v/>
      </c>
      <c r="L7" s="9">
        <f>O6</f>
        <v/>
      </c>
      <c r="M7" s="10">
        <f>L7*Supuestos!$B$18</f>
        <v/>
      </c>
      <c r="N7" s="10">
        <f>IF(L7&gt;0.01,Supuestos!$B$15,0)</f>
        <v/>
      </c>
      <c r="O7" s="9">
        <f>L7+M7+N7-G7-J7</f>
        <v/>
      </c>
      <c r="P7" s="9">
        <f>P6+M7</f>
        <v/>
      </c>
    </row>
    <row r="8">
      <c r="A8" s="27">
        <f>DATE(YEAR(A7),MONTH(A7)+1,1)</f>
        <v/>
      </c>
      <c r="B8" s="9">
        <f>K7</f>
        <v/>
      </c>
      <c r="C8" s="10">
        <f>Supuestos!$B$8</f>
        <v/>
      </c>
      <c r="D8" s="9">
        <f>0</f>
        <v/>
      </c>
      <c r="E8" s="9">
        <f>Supuestos!$B$31+Supuestos!$B$32+Supuestos!$B$33+Supuestos!$B$34+IF(A8&lt;=Supuestos!$B$28,Supuestos!$B$27,0)</f>
        <v/>
      </c>
      <c r="F8" s="9">
        <f>H7</f>
        <v/>
      </c>
      <c r="G8" s="9">
        <f>IF(L8&gt;0.01,MIN(Supuestos!$B$13,L8+M8+N8),0)</f>
        <v/>
      </c>
      <c r="H8" s="9">
        <f>Supuestos!$B$24+IF(A8&lt;=Supuestos!$B$26,Supuestos!$B$25,0)</f>
        <v/>
      </c>
      <c r="I8" s="9">
        <f>B8+C8+D8-E8-F8-G8-H8</f>
        <v/>
      </c>
      <c r="J8" s="9">
        <f>MAX(0,MIN(I8,L8+M8+N8-G8))</f>
        <v/>
      </c>
      <c r="K8" s="9">
        <f>B8+C8+D8-E8-F8-G8-J8</f>
        <v/>
      </c>
      <c r="L8" s="9">
        <f>O7</f>
        <v/>
      </c>
      <c r="M8" s="10">
        <f>L8*Supuestos!$B$18</f>
        <v/>
      </c>
      <c r="N8" s="10">
        <f>IF(L8&gt;0.01,Supuestos!$B$15,0)</f>
        <v/>
      </c>
      <c r="O8" s="9">
        <f>L8+M8+N8-G8-J8</f>
        <v/>
      </c>
      <c r="P8" s="9">
        <f>P7+M8</f>
        <v/>
      </c>
    </row>
    <row r="9">
      <c r="A9" s="27">
        <f>DATE(YEAR(A8),MONTH(A8)+1,1)</f>
        <v/>
      </c>
      <c r="B9" s="9">
        <f>K8</f>
        <v/>
      </c>
      <c r="C9" s="10">
        <f>Supuestos!$B$8</f>
        <v/>
      </c>
      <c r="D9" s="9">
        <f>0</f>
        <v/>
      </c>
      <c r="E9" s="9">
        <f>Supuestos!$B$31+Supuestos!$B$32+Supuestos!$B$33+Supuestos!$B$34+IF(A9&lt;=Supuestos!$B$28,Supuestos!$B$27,0)</f>
        <v/>
      </c>
      <c r="F9" s="9">
        <f>H8</f>
        <v/>
      </c>
      <c r="G9" s="9">
        <f>IF(L9&gt;0.01,MIN(Supuestos!$B$13,L9+M9+N9),0)</f>
        <v/>
      </c>
      <c r="H9" s="9">
        <f>Supuestos!$B$24+IF(A9&lt;=Supuestos!$B$26,Supuestos!$B$25,0)</f>
        <v/>
      </c>
      <c r="I9" s="9">
        <f>B9+C9+D9-E9-F9-G9-H9</f>
        <v/>
      </c>
      <c r="J9" s="9">
        <f>MAX(0,MIN(I9,L9+M9+N9-G9))</f>
        <v/>
      </c>
      <c r="K9" s="9">
        <f>B9+C9+D9-E9-F9-G9-J9</f>
        <v/>
      </c>
      <c r="L9" s="9">
        <f>O8</f>
        <v/>
      </c>
      <c r="M9" s="10">
        <f>L9*Supuestos!$B$18</f>
        <v/>
      </c>
      <c r="N9" s="10">
        <f>IF(L9&gt;0.01,Supuestos!$B$15,0)</f>
        <v/>
      </c>
      <c r="O9" s="9">
        <f>L9+M9+N9-G9-J9</f>
        <v/>
      </c>
      <c r="P9" s="9">
        <f>P8+M9</f>
        <v/>
      </c>
    </row>
    <row r="10">
      <c r="A10" s="27">
        <f>DATE(YEAR(A9),MONTH(A9)+1,1)</f>
        <v/>
      </c>
      <c r="B10" s="9">
        <f>K9</f>
        <v/>
      </c>
      <c r="C10" s="10">
        <f>Supuestos!$B$8</f>
        <v/>
      </c>
      <c r="D10" s="9">
        <f>0</f>
        <v/>
      </c>
      <c r="E10" s="9">
        <f>Supuestos!$B$31+Supuestos!$B$32+Supuestos!$B$33+Supuestos!$B$34+IF(A10&lt;=Supuestos!$B$28,Supuestos!$B$27,0)</f>
        <v/>
      </c>
      <c r="F10" s="9">
        <f>H9</f>
        <v/>
      </c>
      <c r="G10" s="9">
        <f>IF(L10&gt;0.01,MIN(Supuestos!$B$13,L10+M10+N10),0)</f>
        <v/>
      </c>
      <c r="H10" s="9">
        <f>Supuestos!$B$24+IF(A10&lt;=Supuestos!$B$26,Supuestos!$B$25,0)</f>
        <v/>
      </c>
      <c r="I10" s="9">
        <f>B10+C10+D10-E10-F10-G10-H10</f>
        <v/>
      </c>
      <c r="J10" s="9">
        <f>MAX(0,MIN(I10,L10+M10+N10-G10))</f>
        <v/>
      </c>
      <c r="K10" s="9">
        <f>B10+C10+D10-E10-F10-G10-J10</f>
        <v/>
      </c>
      <c r="L10" s="9">
        <f>O9</f>
        <v/>
      </c>
      <c r="M10" s="10">
        <f>L10*Supuestos!$B$18</f>
        <v/>
      </c>
      <c r="N10" s="10">
        <f>IF(L10&gt;0.01,Supuestos!$B$15,0)</f>
        <v/>
      </c>
      <c r="O10" s="9">
        <f>L10+M10+N10-G10-J10</f>
        <v/>
      </c>
      <c r="P10" s="9">
        <f>P9+M10</f>
        <v/>
      </c>
    </row>
    <row r="11">
      <c r="A11" s="27">
        <f>DATE(YEAR(A10),MONTH(A10)+1,1)</f>
        <v/>
      </c>
      <c r="B11" s="9">
        <f>K10</f>
        <v/>
      </c>
      <c r="C11" s="10">
        <f>Supuestos!$B$8</f>
        <v/>
      </c>
      <c r="D11" s="9">
        <f>0</f>
        <v/>
      </c>
      <c r="E11" s="9">
        <f>Supuestos!$B$31+Supuestos!$B$32+Supuestos!$B$33+Supuestos!$B$34+IF(A11&lt;=Supuestos!$B$28,Supuestos!$B$27,0)</f>
        <v/>
      </c>
      <c r="F11" s="9">
        <f>H10</f>
        <v/>
      </c>
      <c r="G11" s="9">
        <f>IF(L11&gt;0.01,MIN(Supuestos!$B$13,L11+M11+N11),0)</f>
        <v/>
      </c>
      <c r="H11" s="9">
        <f>Supuestos!$B$24+IF(A11&lt;=Supuestos!$B$26,Supuestos!$B$25,0)</f>
        <v/>
      </c>
      <c r="I11" s="9">
        <f>B11+C11+D11-E11-F11-G11-H11</f>
        <v/>
      </c>
      <c r="J11" s="9">
        <f>MAX(0,MIN(I11,L11+M11+N11-G11))</f>
        <v/>
      </c>
      <c r="K11" s="9">
        <f>B11+C11+D11-E11-F11-G11-J11</f>
        <v/>
      </c>
      <c r="L11" s="9">
        <f>O10</f>
        <v/>
      </c>
      <c r="M11" s="10">
        <f>L11*Supuestos!$B$18</f>
        <v/>
      </c>
      <c r="N11" s="10">
        <f>IF(L11&gt;0.01,Supuestos!$B$15,0)</f>
        <v/>
      </c>
      <c r="O11" s="9">
        <f>L11+M11+N11-G11-J11</f>
        <v/>
      </c>
      <c r="P11" s="9">
        <f>P10+M11</f>
        <v/>
      </c>
    </row>
    <row r="12">
      <c r="A12" s="27">
        <f>DATE(YEAR(A11),MONTH(A11)+1,1)</f>
        <v/>
      </c>
      <c r="B12" s="9">
        <f>K11</f>
        <v/>
      </c>
      <c r="C12" s="10">
        <f>Supuestos!$B$8</f>
        <v/>
      </c>
      <c r="D12" s="9">
        <f>0</f>
        <v/>
      </c>
      <c r="E12" s="9">
        <f>Supuestos!$B$31+Supuestos!$B$32+Supuestos!$B$33+Supuestos!$B$34+IF(A12&lt;=Supuestos!$B$28,Supuestos!$B$27,0)</f>
        <v/>
      </c>
      <c r="F12" s="9">
        <f>H11</f>
        <v/>
      </c>
      <c r="G12" s="9">
        <f>IF(L12&gt;0.01,MIN(Supuestos!$B$13,L12+M12+N12),0)</f>
        <v/>
      </c>
      <c r="H12" s="9">
        <f>Supuestos!$B$24+IF(A12&lt;=Supuestos!$B$26,Supuestos!$B$25,0)</f>
        <v/>
      </c>
      <c r="I12" s="9">
        <f>B12+C12+D12-E12-F12-G12-H12</f>
        <v/>
      </c>
      <c r="J12" s="9">
        <f>MAX(0,MIN(I12,L12+M12+N12-G12))</f>
        <v/>
      </c>
      <c r="K12" s="9">
        <f>B12+C12+D12-E12-F12-G12-J12</f>
        <v/>
      </c>
      <c r="L12" s="9">
        <f>O11</f>
        <v/>
      </c>
      <c r="M12" s="10">
        <f>L12*Supuestos!$B$18</f>
        <v/>
      </c>
      <c r="N12" s="10">
        <f>IF(L12&gt;0.01,Supuestos!$B$15,0)</f>
        <v/>
      </c>
      <c r="O12" s="9">
        <f>L12+M12+N12-G12-J12</f>
        <v/>
      </c>
      <c r="P12" s="9">
        <f>P11+M12</f>
        <v/>
      </c>
    </row>
    <row r="13">
      <c r="A13" s="27">
        <f>DATE(YEAR(A12),MONTH(A12)+1,1)</f>
        <v/>
      </c>
      <c r="B13" s="9">
        <f>K12</f>
        <v/>
      </c>
      <c r="C13" s="10">
        <f>Supuestos!$B$8</f>
        <v/>
      </c>
      <c r="D13" s="9">
        <f>0</f>
        <v/>
      </c>
      <c r="E13" s="9">
        <f>Supuestos!$B$31+Supuestos!$B$32+Supuestos!$B$33+Supuestos!$B$34+IF(A13&lt;=Supuestos!$B$28,Supuestos!$B$27,0)</f>
        <v/>
      </c>
      <c r="F13" s="9">
        <f>H12</f>
        <v/>
      </c>
      <c r="G13" s="9">
        <f>IF(L13&gt;0.01,MIN(Supuestos!$B$13,L13+M13+N13),0)</f>
        <v/>
      </c>
      <c r="H13" s="9">
        <f>Supuestos!$B$24+IF(A13&lt;=Supuestos!$B$26,Supuestos!$B$25,0)</f>
        <v/>
      </c>
      <c r="I13" s="9">
        <f>B13+C13+D13-E13-F13-G13-H13</f>
        <v/>
      </c>
      <c r="J13" s="9">
        <f>MAX(0,MIN(I13,L13+M13+N13-G13))</f>
        <v/>
      </c>
      <c r="K13" s="9">
        <f>B13+C13+D13-E13-F13-G13-J13</f>
        <v/>
      </c>
      <c r="L13" s="9">
        <f>O12</f>
        <v/>
      </c>
      <c r="M13" s="10">
        <f>L13*Supuestos!$B$18</f>
        <v/>
      </c>
      <c r="N13" s="10">
        <f>IF(L13&gt;0.01,Supuestos!$B$15,0)</f>
        <v/>
      </c>
      <c r="O13" s="9">
        <f>L13+M13+N13-G13-J13</f>
        <v/>
      </c>
      <c r="P13" s="9">
        <f>P12+M13</f>
        <v/>
      </c>
    </row>
    <row r="15">
      <c r="A15" s="25" t="inlineStr">
        <is>
          <t>Mes en que la deuda llega a 0</t>
        </is>
      </c>
      <c r="B15" s="28">
        <f>IFERROR(INDEX(A5:A13,MATCH(TRUE,INDEX(O5:O13&lt;0.01,0),0)),"Después")</f>
        <v/>
      </c>
    </row>
    <row r="16">
      <c r="A16" s="25" t="inlineStr">
        <is>
          <t>Intereses totales del ExtraCash</t>
        </is>
      </c>
      <c r="B16" s="22">
        <f>SUM(M5:M13)</f>
        <v/>
      </c>
    </row>
    <row r="17">
      <c r="A17" s="2" t="inlineStr">
        <is>
          <t>Nota: caja final incluye lo apartado para la tarjeta del mes siguiente.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2026-10-11T16:31:05Z</dcterms:created>
  <dcterms:modified xsi:type="dcterms:W3CDTF">2026-10-11T16:31:05Z</dcterms:modified>
</cp:coreProperties>
</file>